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guye\Desktop\"/>
    </mc:Choice>
  </mc:AlternateContent>
  <xr:revisionPtr revIDLastSave="0" documentId="13_ncr:1_{DD4D3CFC-2127-4735-A710-03A9994F8AE3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Tham_so" sheetId="1" r:id="rId1"/>
    <sheet name="Dinh_muc" sheetId="2" r:id="rId2"/>
    <sheet name="Bo_tach_khoan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1" i="3" l="1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K18" i="2"/>
  <c r="J51" i="3" s="1"/>
  <c r="E18" i="2"/>
  <c r="J18" i="2" s="1"/>
  <c r="K17" i="2"/>
  <c r="J48" i="3" s="1"/>
  <c r="E17" i="2"/>
  <c r="J17" i="2" s="1"/>
  <c r="K16" i="2"/>
  <c r="J44" i="3" s="1"/>
  <c r="E16" i="2"/>
  <c r="J16" i="2" s="1"/>
  <c r="K15" i="2"/>
  <c r="J41" i="3" s="1"/>
  <c r="E15" i="2"/>
  <c r="J15" i="2" s="1"/>
  <c r="K14" i="2"/>
  <c r="J39" i="3" s="1"/>
  <c r="E14" i="2"/>
  <c r="J14" i="2" s="1"/>
  <c r="G39" i="3" s="1"/>
  <c r="K13" i="2"/>
  <c r="J35" i="3" s="1"/>
  <c r="E13" i="2"/>
  <c r="J13" i="2" s="1"/>
  <c r="K12" i="2"/>
  <c r="J32" i="3" s="1"/>
  <c r="E12" i="2"/>
  <c r="J12" i="2" s="1"/>
  <c r="K11" i="2"/>
  <c r="J30" i="3" s="1"/>
  <c r="E11" i="2"/>
  <c r="J11" i="2" s="1"/>
  <c r="K10" i="2"/>
  <c r="J27" i="3" s="1"/>
  <c r="E10" i="2"/>
  <c r="J10" i="2" s="1"/>
  <c r="G27" i="3" s="1"/>
  <c r="K9" i="2"/>
  <c r="J23" i="3" s="1"/>
  <c r="E9" i="2"/>
  <c r="J9" i="2" s="1"/>
  <c r="K8" i="2"/>
  <c r="J20" i="3" s="1"/>
  <c r="E8" i="2"/>
  <c r="J8" i="2" s="1"/>
  <c r="K7" i="2"/>
  <c r="J18" i="3" s="1"/>
  <c r="E7" i="2"/>
  <c r="J7" i="2" s="1"/>
  <c r="K6" i="2"/>
  <c r="J16" i="3" s="1"/>
  <c r="E6" i="2"/>
  <c r="J6" i="2" s="1"/>
  <c r="K5" i="2"/>
  <c r="J11" i="3" s="1"/>
  <c r="E5" i="2"/>
  <c r="J5" i="2" s="1"/>
  <c r="G10" i="3" s="1"/>
  <c r="I10" i="3" s="1"/>
  <c r="K4" i="2"/>
  <c r="J6" i="3" s="1"/>
  <c r="E4" i="2"/>
  <c r="J4" i="2" s="1"/>
  <c r="D14" i="1"/>
  <c r="J50" i="3" s="1"/>
  <c r="D13" i="1"/>
  <c r="D12" i="1"/>
  <c r="D11" i="1"/>
  <c r="D10" i="1"/>
  <c r="D9" i="1"/>
  <c r="I39" i="3" l="1"/>
  <c r="J42" i="3"/>
  <c r="J45" i="3"/>
  <c r="I27" i="3"/>
  <c r="K27" i="3" s="1"/>
  <c r="G48" i="3"/>
  <c r="I48" i="3" s="1"/>
  <c r="K48" i="3" s="1"/>
  <c r="G47" i="3"/>
  <c r="I47" i="3" s="1"/>
  <c r="G46" i="3"/>
  <c r="I46" i="3" s="1"/>
  <c r="K46" i="3" s="1"/>
  <c r="G23" i="3"/>
  <c r="I23" i="3" s="1"/>
  <c r="K23" i="3" s="1"/>
  <c r="G22" i="3"/>
  <c r="I22" i="3" s="1"/>
  <c r="K22" i="3" s="1"/>
  <c r="G24" i="3"/>
  <c r="I24" i="3" s="1"/>
  <c r="J15" i="3"/>
  <c r="J21" i="3"/>
  <c r="K39" i="3"/>
  <c r="G42" i="3"/>
  <c r="I42" i="3" s="1"/>
  <c r="G40" i="3"/>
  <c r="I40" i="3" s="1"/>
  <c r="K40" i="3" s="1"/>
  <c r="G41" i="3"/>
  <c r="I41" i="3" s="1"/>
  <c r="K41" i="3" s="1"/>
  <c r="J10" i="3"/>
  <c r="K10" i="3" s="1"/>
  <c r="J12" i="3"/>
  <c r="J7" i="3"/>
  <c r="J5" i="3"/>
  <c r="J13" i="3"/>
  <c r="J8" i="3"/>
  <c r="G20" i="3"/>
  <c r="I20" i="3" s="1"/>
  <c r="K20" i="3" s="1"/>
  <c r="G21" i="3"/>
  <c r="I21" i="3" s="1"/>
  <c r="G19" i="3"/>
  <c r="I19" i="3" s="1"/>
  <c r="K19" i="3" s="1"/>
  <c r="G51" i="3"/>
  <c r="I51" i="3" s="1"/>
  <c r="K51" i="3" s="1"/>
  <c r="G49" i="3"/>
  <c r="I49" i="3" s="1"/>
  <c r="K49" i="3" s="1"/>
  <c r="G50" i="3"/>
  <c r="I50" i="3" s="1"/>
  <c r="K50" i="3" s="1"/>
  <c r="G37" i="3"/>
  <c r="I37" i="3" s="1"/>
  <c r="K37" i="3" s="1"/>
  <c r="G38" i="3"/>
  <c r="I38" i="3" s="1"/>
  <c r="G8" i="3"/>
  <c r="I8" i="3" s="1"/>
  <c r="G6" i="3"/>
  <c r="I6" i="3" s="1"/>
  <c r="K6" i="3" s="1"/>
  <c r="G4" i="3"/>
  <c r="I4" i="3" s="1"/>
  <c r="K4" i="3" s="1"/>
  <c r="G7" i="3"/>
  <c r="I7" i="3" s="1"/>
  <c r="G30" i="3"/>
  <c r="I30" i="3" s="1"/>
  <c r="K30" i="3" s="1"/>
  <c r="G28" i="3"/>
  <c r="I28" i="3" s="1"/>
  <c r="K28" i="3" s="1"/>
  <c r="G13" i="3"/>
  <c r="I13" i="3" s="1"/>
  <c r="K13" i="3" s="1"/>
  <c r="G11" i="3"/>
  <c r="I11" i="3" s="1"/>
  <c r="K11" i="3" s="1"/>
  <c r="G9" i="3"/>
  <c r="I9" i="3" s="1"/>
  <c r="K9" i="3" s="1"/>
  <c r="G12" i="3"/>
  <c r="I12" i="3" s="1"/>
  <c r="J47" i="3"/>
  <c r="G18" i="3"/>
  <c r="I18" i="3" s="1"/>
  <c r="K18" i="3" s="1"/>
  <c r="G17" i="3"/>
  <c r="I17" i="3" s="1"/>
  <c r="K17" i="3" s="1"/>
  <c r="G32" i="3"/>
  <c r="I32" i="3" s="1"/>
  <c r="K32" i="3" s="1"/>
  <c r="G31" i="3"/>
  <c r="I31" i="3" s="1"/>
  <c r="K31" i="3" s="1"/>
  <c r="G33" i="3"/>
  <c r="I33" i="3" s="1"/>
  <c r="J24" i="3"/>
  <c r="G16" i="3"/>
  <c r="I16" i="3" s="1"/>
  <c r="K16" i="3" s="1"/>
  <c r="G14" i="3"/>
  <c r="I14" i="3" s="1"/>
  <c r="K14" i="3" s="1"/>
  <c r="G44" i="3"/>
  <c r="I44" i="3" s="1"/>
  <c r="K44" i="3" s="1"/>
  <c r="G43" i="3"/>
  <c r="I43" i="3" s="1"/>
  <c r="K43" i="3" s="1"/>
  <c r="G45" i="3"/>
  <c r="I45" i="3" s="1"/>
  <c r="K45" i="3" s="1"/>
  <c r="G5" i="3"/>
  <c r="I5" i="3" s="1"/>
  <c r="G29" i="3"/>
  <c r="I29" i="3" s="1"/>
  <c r="G35" i="3"/>
  <c r="I35" i="3" s="1"/>
  <c r="K35" i="3" s="1"/>
  <c r="G36" i="3"/>
  <c r="I36" i="3" s="1"/>
  <c r="G25" i="3"/>
  <c r="I25" i="3" s="1"/>
  <c r="K25" i="3" s="1"/>
  <c r="G26" i="3"/>
  <c r="I26" i="3" s="1"/>
  <c r="G15" i="3"/>
  <c r="I15" i="3" s="1"/>
  <c r="G34" i="3"/>
  <c r="I34" i="3" s="1"/>
  <c r="K34" i="3" s="1"/>
  <c r="J29" i="3"/>
  <c r="J36" i="3"/>
  <c r="J26" i="3"/>
  <c r="J38" i="3"/>
  <c r="J33" i="3"/>
  <c r="K42" i="3" l="1"/>
  <c r="K47" i="3"/>
  <c r="K24" i="3"/>
  <c r="K12" i="3"/>
  <c r="K33" i="3"/>
  <c r="K15" i="3"/>
  <c r="K36" i="3"/>
  <c r="K29" i="3"/>
  <c r="K21" i="3"/>
  <c r="K8" i="3"/>
  <c r="K7" i="3"/>
  <c r="K5" i="3"/>
  <c r="K26" i="3"/>
  <c r="K38" i="3"/>
</calcChain>
</file>

<file path=xl/sharedStrings.xml><?xml version="1.0" encoding="utf-8"?>
<sst xmlns="http://schemas.openxmlformats.org/spreadsheetml/2006/main" count="172" uniqueCount="73">
  <si>
    <t>THAM SỐ ĐẦU VÀO — KHOÁN ĐTLK (đơn vị: đồng)</t>
  </si>
  <si>
    <t>Giá nhiên liệu (đồng/lít)</t>
  </si>
  <si>
    <t>Xăng RON 95</t>
  </si>
  <si>
    <t>Dầu DO</t>
  </si>
  <si>
    <t>Giá thuê xe PL F &amp; năng lực khai thác</t>
  </si>
  <si>
    <t>Lớp xe</t>
  </si>
  <si>
    <t>PL F (đồng/tháng)</t>
  </si>
  <si>
    <t>Khai thác (giờ/tháng)</t>
  </si>
  <si>
    <t>Đơn giá giờ (đồng)</t>
  </si>
  <si>
    <t>Bcar (ô tô con - hạng B)</t>
  </si>
  <si>
    <t>C1 (tải 3,5-7,5T)</t>
  </si>
  <si>
    <t>C (tải &gt;7,5T)</t>
  </si>
  <si>
    <t>D1 (10-16 chỗ)</t>
  </si>
  <si>
    <t>D2 (16-30 chỗ)</t>
  </si>
  <si>
    <t>D (&gt;30 chỗ)</t>
  </si>
  <si>
    <t>Hoa hồng Hạng B (đồng) theo số xe</t>
  </si>
  <si>
    <t>Số xe</t>
  </si>
  <si>
    <t>Hoa hồng</t>
  </si>
  <si>
    <t>0</t>
  </si>
  <si>
    <t>1</t>
  </si>
  <si>
    <t>2</t>
  </si>
  <si>
    <t>3</t>
  </si>
  <si>
    <t>≥4</t>
  </si>
  <si>
    <t>ĐỊNH MỨC TT 14 &amp; TÍNH NL/HV, XE-GIỜ/HV</t>
  </si>
  <si>
    <t>Hạng</t>
  </si>
  <si>
    <t>NL sân (l/giờ)</t>
  </si>
  <si>
    <t>NL đường (l/100km)</t>
  </si>
  <si>
    <t>Giá NL (đ/l)</t>
  </si>
  <si>
    <t>Giờ sân</t>
  </si>
  <si>
    <t>HV/xe</t>
  </si>
  <si>
    <t>Giờ đường</t>
  </si>
  <si>
    <t>Km đường</t>
  </si>
  <si>
    <t>NL/HV - 621 (đ)</t>
  </si>
  <si>
    <t>Xe-giờ/HV</t>
  </si>
  <si>
    <t>B số sàn</t>
  </si>
  <si>
    <t>B số tự động</t>
  </si>
  <si>
    <t>C1</t>
  </si>
  <si>
    <t>B→C</t>
  </si>
  <si>
    <t>C1→C</t>
  </si>
  <si>
    <t>B→D1</t>
  </si>
  <si>
    <t>B→D2</t>
  </si>
  <si>
    <t>C1→D1</t>
  </si>
  <si>
    <t>C1→D2</t>
  </si>
  <si>
    <t>C→D1</t>
  </si>
  <si>
    <t>C→D2</t>
  </si>
  <si>
    <t>C→D</t>
  </si>
  <si>
    <t>D1→D2</t>
  </si>
  <si>
    <t>D1→D</t>
  </si>
  <si>
    <t>D2→D</t>
  </si>
  <si>
    <t>BỘ TÁCH KHOÁN ĐTLK — 621/641/622 → công dạy + phương tiện (đồng)</t>
  </si>
  <si>
    <t>Đơn giá tổng (LK)</t>
  </si>
  <si>
    <t>NL (621)</t>
  </si>
  <si>
    <t>Hoa hồng (641)</t>
  </si>
  <si>
    <t>Công đào tạo (622)</t>
  </si>
  <si>
    <t>Phương tiện</t>
  </si>
  <si>
    <t>Công dạy</t>
  </si>
  <si>
    <t>STT</t>
  </si>
  <si>
    <t>Mức Thanh toán</t>
  </si>
  <si>
    <t>HẠNG C</t>
  </si>
  <si>
    <t>NÂNG HẠNG B→C</t>
  </si>
  <si>
    <t>NÂNG HẠNG C1→C</t>
  </si>
  <si>
    <t>NÂNG HẠNG B→D1</t>
  </si>
  <si>
    <t>NÂNG HẠNG B→D2</t>
  </si>
  <si>
    <t>NÂNG HẠNG C1→D1</t>
  </si>
  <si>
    <t>NÂNG HẠNG C1→D2</t>
  </si>
  <si>
    <t>NÂNG HẠNG C→D1</t>
  </si>
  <si>
    <t>NÂNG HẠNG C→D2</t>
  </si>
  <si>
    <t>NÂNG HẠNG C→D</t>
  </si>
  <si>
    <t>NÂNG HẠNG D1→D2</t>
  </si>
  <si>
    <t>NÂNG HẠNG D1→D</t>
  </si>
  <si>
    <t>NÂNG HẠNG D2→D</t>
  </si>
  <si>
    <t>HẠNG Bss</t>
  </si>
  <si>
    <t>HẠNG Btd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</si>
</sst>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(* #,##0_);_(* \(#,##0\);_(* &quot;-&quot;??_);_(@_)"/>
  </numFmts>
  <fonts count="15" x14ac:knownFonts="1">
    <font>
      <sz val="11"/>
      <color theme="1"/>
      <name val="Calibri"/>
      <family val="2"/>
      <charset val="1"/>
    </font>
    <font>
      <b/>
      <sz val="11"/>
      <name val="Arial"/>
      <family val="2"/>
      <charset val="163"/>
    </font>
    <font>
      <sz val="11"/>
      <color rgb="FF0000FF"/>
      <name val="Arial"/>
      <family val="2"/>
      <charset val="163"/>
    </font>
    <font>
      <b/>
      <sz val="11"/>
      <color rgb="FF000000"/>
      <name val="Arial"/>
      <family val="2"/>
      <charset val="163"/>
    </font>
    <font>
      <sz val="11"/>
      <name val="Arial"/>
      <family val="2"/>
      <charset val="163"/>
    </font>
    <font>
      <sz val="11"/>
      <color theme="1"/>
      <name val="Times New Roman"/>
      <family val="1"/>
      <charset val="163"/>
    </font>
    <font>
      <b/>
      <sz val="11"/>
      <color rgb="FF000000"/>
      <name val="Times New Roman"/>
      <family val="1"/>
      <charset val="163"/>
    </font>
    <font>
      <sz val="11"/>
      <color rgb="FF0000FF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sz val="12"/>
      <name val="Times New Roman"/>
      <family val="1"/>
      <charset val="163"/>
    </font>
    <font>
      <b/>
      <sz val="12"/>
      <color rgb="FF000000"/>
      <name val="Times New Roman"/>
      <family val="1"/>
      <charset val="163"/>
    </font>
    <font>
      <sz val="12"/>
      <color rgb="FF0000FF"/>
      <name val="Times New Roman"/>
      <family val="1"/>
      <charset val="163"/>
    </font>
    <font>
      <b/>
      <sz val="16"/>
      <name val="Arial"/>
      <family val="2"/>
      <charset val="163"/>
    </font>
    <font>
      <b/>
      <sz val="16"/>
      <name val="Times New Roman"/>
      <family val="1"/>
      <charset val="163"/>
    </font>
    <font>
      <b/>
      <sz val="11"/>
      <color theme="1"/>
      <name val="Calibri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3" fontId="2" fillId="2" borderId="0" xfId="0" applyNumberFormat="1" applyFont="1" applyFill="1"/>
    <xf numFmtId="0" fontId="3" fillId="3" borderId="1" xfId="0" applyFont="1" applyFill="1" applyBorder="1" applyAlignment="1">
      <alignment horizontal="center"/>
    </xf>
    <xf numFmtId="0" fontId="0" fillId="0" borderId="1" xfId="0" applyBorder="1"/>
    <xf numFmtId="3" fontId="2" fillId="2" borderId="1" xfId="0" applyNumberFormat="1" applyFont="1" applyFill="1" applyBorder="1"/>
    <xf numFmtId="3" fontId="4" fillId="0" borderId="1" xfId="0" applyNumberFormat="1" applyFont="1" applyBorder="1"/>
    <xf numFmtId="0" fontId="8" fillId="0" borderId="0" xfId="0" applyFont="1"/>
    <xf numFmtId="0" fontId="9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1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3" fillId="0" borderId="0" xfId="0" applyFont="1"/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 applyAlignment="1">
      <alignment horizontal="center"/>
    </xf>
    <xf numFmtId="0" fontId="5" fillId="0" borderId="4" xfId="0" applyFont="1" applyBorder="1"/>
    <xf numFmtId="0" fontId="6" fillId="3" borderId="1" xfId="0" applyFont="1" applyFill="1" applyBorder="1" applyAlignment="1">
      <alignment horizontal="center" vertical="center" wrapText="1"/>
    </xf>
    <xf numFmtId="0" fontId="14" fillId="0" borderId="0" xfId="0" applyFont="1"/>
    <xf numFmtId="0" fontId="8" fillId="0" borderId="2" xfId="0" applyFont="1" applyBorder="1" applyAlignment="1">
      <alignment horizontal="center"/>
    </xf>
    <xf numFmtId="0" fontId="8" fillId="0" borderId="2" xfId="0" applyFont="1" applyBorder="1"/>
    <xf numFmtId="0" fontId="11" fillId="0" borderId="2" xfId="0" applyFont="1" applyBorder="1"/>
    <xf numFmtId="3" fontId="8" fillId="0" borderId="2" xfId="0" applyNumberFormat="1" applyFont="1" applyBorder="1"/>
    <xf numFmtId="164" fontId="8" fillId="0" borderId="2" xfId="0" applyNumberFormat="1" applyFont="1" applyBorder="1"/>
    <xf numFmtId="0" fontId="8" fillId="0" borderId="3" xfId="0" applyFont="1" applyBorder="1" applyAlignment="1">
      <alignment horizontal="center"/>
    </xf>
    <xf numFmtId="0" fontId="8" fillId="0" borderId="3" xfId="0" applyFont="1" applyBorder="1"/>
    <xf numFmtId="0" fontId="11" fillId="0" borderId="3" xfId="0" applyFont="1" applyBorder="1"/>
    <xf numFmtId="3" fontId="8" fillId="0" borderId="3" xfId="0" applyNumberFormat="1" applyFont="1" applyBorder="1"/>
    <xf numFmtId="164" fontId="8" fillId="0" borderId="3" xfId="0" applyNumberFormat="1" applyFont="1" applyBorder="1"/>
    <xf numFmtId="0" fontId="8" fillId="0" borderId="4" xfId="0" applyFont="1" applyBorder="1" applyAlignment="1">
      <alignment horizontal="center"/>
    </xf>
    <xf numFmtId="0" fontId="8" fillId="0" borderId="4" xfId="0" applyFont="1" applyBorder="1"/>
    <xf numFmtId="0" fontId="11" fillId="0" borderId="4" xfId="0" applyFont="1" applyBorder="1"/>
    <xf numFmtId="3" fontId="8" fillId="0" borderId="4" xfId="0" applyNumberFormat="1" applyFont="1" applyBorder="1"/>
    <xf numFmtId="164" fontId="8" fillId="0" borderId="4" xfId="0" applyNumberFormat="1" applyFont="1" applyBorder="1"/>
    <xf numFmtId="165" fontId="7" fillId="0" borderId="2" xfId="0" applyNumberFormat="1" applyFont="1" applyBorder="1"/>
    <xf numFmtId="165" fontId="5" fillId="0" borderId="2" xfId="0" applyNumberFormat="1" applyFont="1" applyBorder="1"/>
    <xf numFmtId="165" fontId="7" fillId="0" borderId="3" xfId="0" applyNumberFormat="1" applyFont="1" applyBorder="1"/>
    <xf numFmtId="165" fontId="5" fillId="0" borderId="3" xfId="0" applyNumberFormat="1" applyFont="1" applyBorder="1"/>
    <xf numFmtId="165" fontId="7" fillId="0" borderId="4" xfId="0" applyNumberFormat="1" applyFont="1" applyBorder="1"/>
    <xf numFmtId="165" fontId="5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opLeftCell="A6" zoomScaleNormal="100" workbookViewId="0">
      <selection activeCell="G20" sqref="G20"/>
    </sheetView>
  </sheetViews>
  <sheetFormatPr defaultColWidth="8.6328125" defaultRowHeight="14.5" x14ac:dyDescent="0.35"/>
  <cols>
    <col min="1" max="1" width="24.453125" customWidth="1"/>
    <col min="2" max="2" width="15.26953125" customWidth="1"/>
    <col min="3" max="3" width="11.7265625" customWidth="1"/>
    <col min="4" max="4" width="11.90625" customWidth="1"/>
  </cols>
  <sheetData>
    <row r="1" spans="1:4" x14ac:dyDescent="0.35">
      <c r="A1" s="1" t="s">
        <v>0</v>
      </c>
    </row>
    <row r="3" spans="1:4" x14ac:dyDescent="0.35">
      <c r="A3" s="1" t="s">
        <v>1</v>
      </c>
    </row>
    <row r="4" spans="1:4" x14ac:dyDescent="0.35">
      <c r="A4" t="s">
        <v>2</v>
      </c>
      <c r="B4" s="2">
        <v>24000</v>
      </c>
    </row>
    <row r="5" spans="1:4" x14ac:dyDescent="0.35">
      <c r="A5" t="s">
        <v>3</v>
      </c>
      <c r="B5" s="2">
        <v>22000</v>
      </c>
    </row>
    <row r="7" spans="1:4" x14ac:dyDescent="0.35">
      <c r="A7" s="1" t="s">
        <v>4</v>
      </c>
    </row>
    <row r="8" spans="1:4" ht="28" x14ac:dyDescent="0.35">
      <c r="A8" s="11" t="s">
        <v>5</v>
      </c>
      <c r="B8" s="11" t="s">
        <v>6</v>
      </c>
      <c r="C8" s="11" t="s">
        <v>7</v>
      </c>
      <c r="D8" s="11" t="s">
        <v>8</v>
      </c>
    </row>
    <row r="9" spans="1:4" x14ac:dyDescent="0.35">
      <c r="A9" s="4" t="s">
        <v>9</v>
      </c>
      <c r="B9" s="5">
        <v>8000000</v>
      </c>
      <c r="C9" s="5">
        <v>260</v>
      </c>
      <c r="D9" s="6">
        <f t="shared" ref="D9:D14" si="0">B9/C9</f>
        <v>30769.23076923077</v>
      </c>
    </row>
    <row r="10" spans="1:4" x14ac:dyDescent="0.35">
      <c r="A10" s="4" t="s">
        <v>10</v>
      </c>
      <c r="B10" s="5">
        <v>10000000</v>
      </c>
      <c r="C10" s="5">
        <v>260</v>
      </c>
      <c r="D10" s="6">
        <f t="shared" si="0"/>
        <v>38461.538461538461</v>
      </c>
    </row>
    <row r="11" spans="1:4" x14ac:dyDescent="0.35">
      <c r="A11" s="4" t="s">
        <v>11</v>
      </c>
      <c r="B11" s="5">
        <v>13000000</v>
      </c>
      <c r="C11" s="5">
        <v>260</v>
      </c>
      <c r="D11" s="6">
        <f t="shared" si="0"/>
        <v>50000</v>
      </c>
    </row>
    <row r="12" spans="1:4" x14ac:dyDescent="0.35">
      <c r="A12" s="4" t="s">
        <v>12</v>
      </c>
      <c r="B12" s="5">
        <v>11000000</v>
      </c>
      <c r="C12" s="5">
        <v>260</v>
      </c>
      <c r="D12" s="6">
        <f t="shared" si="0"/>
        <v>42307.692307692305</v>
      </c>
    </row>
    <row r="13" spans="1:4" x14ac:dyDescent="0.35">
      <c r="A13" s="4" t="s">
        <v>13</v>
      </c>
      <c r="B13" s="5">
        <v>14000000</v>
      </c>
      <c r="C13" s="5">
        <v>260</v>
      </c>
      <c r="D13" s="6">
        <f t="shared" si="0"/>
        <v>53846.153846153844</v>
      </c>
    </row>
    <row r="14" spans="1:4" x14ac:dyDescent="0.35">
      <c r="A14" s="4" t="s">
        <v>14</v>
      </c>
      <c r="B14" s="5">
        <v>17000000</v>
      </c>
      <c r="C14" s="5">
        <v>200</v>
      </c>
      <c r="D14" s="6">
        <f t="shared" si="0"/>
        <v>85000</v>
      </c>
    </row>
    <row r="16" spans="1:4" x14ac:dyDescent="0.35">
      <c r="A16" s="1" t="s">
        <v>15</v>
      </c>
    </row>
    <row r="17" spans="1:2" x14ac:dyDescent="0.35">
      <c r="A17" s="3" t="s">
        <v>16</v>
      </c>
      <c r="B17" s="3" t="s">
        <v>17</v>
      </c>
    </row>
    <row r="18" spans="1:2" x14ac:dyDescent="0.35">
      <c r="A18" s="12" t="s">
        <v>18</v>
      </c>
      <c r="B18" s="5">
        <v>1500000</v>
      </c>
    </row>
    <row r="19" spans="1:2" x14ac:dyDescent="0.35">
      <c r="A19" s="12" t="s">
        <v>19</v>
      </c>
      <c r="B19" s="5">
        <v>1600000</v>
      </c>
    </row>
    <row r="20" spans="1:2" x14ac:dyDescent="0.35">
      <c r="A20" s="12" t="s">
        <v>20</v>
      </c>
      <c r="B20" s="5">
        <v>1700000</v>
      </c>
    </row>
    <row r="21" spans="1:2" x14ac:dyDescent="0.35">
      <c r="A21" s="12" t="s">
        <v>21</v>
      </c>
      <c r="B21" s="5">
        <v>1800000</v>
      </c>
    </row>
    <row r="22" spans="1:2" x14ac:dyDescent="0.35">
      <c r="A22" s="12" t="s">
        <v>22</v>
      </c>
      <c r="B22" s="5">
        <v>2000000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tabSelected="1" zoomScaleNormal="100" workbookViewId="0">
      <selection activeCell="M15" sqref="M15"/>
    </sheetView>
  </sheetViews>
  <sheetFormatPr defaultColWidth="8.6328125" defaultRowHeight="14.5" x14ac:dyDescent="0.35"/>
  <cols>
    <col min="1" max="1" width="4.7265625" bestFit="1" customWidth="1"/>
    <col min="2" max="2" width="15" customWidth="1"/>
    <col min="3" max="3" width="7.453125" bestFit="1" customWidth="1"/>
    <col min="4" max="4" width="10.26953125" bestFit="1" customWidth="1"/>
    <col min="5" max="5" width="9" customWidth="1"/>
    <col min="6" max="6" width="8.1796875" bestFit="1" customWidth="1"/>
    <col min="7" max="7" width="6.6328125" customWidth="1"/>
    <col min="8" max="8" width="8.1796875" customWidth="1"/>
    <col min="9" max="9" width="9.90625" customWidth="1"/>
    <col min="10" max="10" width="10.81640625" customWidth="1"/>
    <col min="11" max="11" width="10.36328125" bestFit="1" customWidth="1"/>
  </cols>
  <sheetData>
    <row r="1" spans="1:12" ht="15.5" x14ac:dyDescent="0.35">
      <c r="A1" s="7"/>
      <c r="B1" s="8" t="s">
        <v>23</v>
      </c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5.5" x14ac:dyDescent="0.35">
      <c r="A2" s="7"/>
      <c r="B2" s="8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30" x14ac:dyDescent="0.35">
      <c r="A3" s="9" t="s">
        <v>56</v>
      </c>
      <c r="B3" s="9" t="s">
        <v>24</v>
      </c>
      <c r="C3" s="9" t="s">
        <v>25</v>
      </c>
      <c r="D3" s="9" t="s">
        <v>26</v>
      </c>
      <c r="E3" s="9" t="s">
        <v>27</v>
      </c>
      <c r="F3" s="9" t="s">
        <v>28</v>
      </c>
      <c r="G3" s="9" t="s">
        <v>29</v>
      </c>
      <c r="H3" s="9" t="s">
        <v>30</v>
      </c>
      <c r="I3" s="9" t="s">
        <v>31</v>
      </c>
      <c r="J3" s="9" t="s">
        <v>32</v>
      </c>
      <c r="K3" s="9" t="s">
        <v>33</v>
      </c>
      <c r="L3" s="7"/>
    </row>
    <row r="4" spans="1:12" ht="15.5" x14ac:dyDescent="0.35">
      <c r="A4" s="22">
        <v>1</v>
      </c>
      <c r="B4" s="23" t="s">
        <v>34</v>
      </c>
      <c r="C4" s="24">
        <v>5.6</v>
      </c>
      <c r="D4" s="24">
        <v>14.3</v>
      </c>
      <c r="E4" s="25">
        <f>Tham_so!$B$4</f>
        <v>24000</v>
      </c>
      <c r="F4" s="24">
        <v>41</v>
      </c>
      <c r="G4" s="24">
        <v>5</v>
      </c>
      <c r="H4" s="24">
        <v>40</v>
      </c>
      <c r="I4" s="24">
        <v>810</v>
      </c>
      <c r="J4" s="25">
        <f>C4*(F4/G4)*E4+D4*(I4/100)*E4</f>
        <v>3882000</v>
      </c>
      <c r="K4" s="26">
        <f t="shared" ref="K4:K18" si="0">F4/G4+H4</f>
        <v>48.2</v>
      </c>
      <c r="L4" s="7"/>
    </row>
    <row r="5" spans="1:12" ht="15.5" x14ac:dyDescent="0.35">
      <c r="A5" s="27">
        <v>2</v>
      </c>
      <c r="B5" s="28" t="s">
        <v>35</v>
      </c>
      <c r="C5" s="29">
        <v>5.6</v>
      </c>
      <c r="D5" s="29">
        <v>14.3</v>
      </c>
      <c r="E5" s="30">
        <f>Tham_so!$B$4</f>
        <v>24000</v>
      </c>
      <c r="F5" s="29">
        <v>41</v>
      </c>
      <c r="G5" s="29">
        <v>5</v>
      </c>
      <c r="H5" s="29">
        <v>24</v>
      </c>
      <c r="I5" s="29">
        <v>710</v>
      </c>
      <c r="J5" s="30">
        <f t="shared" ref="J5:J18" si="1">C5*(F5/G5)*E5+D5*(I5/100)*E5</f>
        <v>3538800</v>
      </c>
      <c r="K5" s="31">
        <f t="shared" si="0"/>
        <v>32.200000000000003</v>
      </c>
      <c r="L5" s="7"/>
    </row>
    <row r="6" spans="1:12" ht="15.5" x14ac:dyDescent="0.35">
      <c r="A6" s="27">
        <v>3</v>
      </c>
      <c r="B6" s="28" t="s">
        <v>36</v>
      </c>
      <c r="C6" s="29">
        <v>8.6999999999999993</v>
      </c>
      <c r="D6" s="29">
        <v>18</v>
      </c>
      <c r="E6" s="30">
        <f>Tham_so!$B$5</f>
        <v>22000</v>
      </c>
      <c r="F6" s="29">
        <v>43</v>
      </c>
      <c r="G6" s="29">
        <v>8</v>
      </c>
      <c r="H6" s="29">
        <v>48</v>
      </c>
      <c r="I6" s="29">
        <v>825</v>
      </c>
      <c r="J6" s="30">
        <f t="shared" si="1"/>
        <v>4295775</v>
      </c>
      <c r="K6" s="31">
        <f t="shared" si="0"/>
        <v>53.375</v>
      </c>
      <c r="L6" s="7"/>
    </row>
    <row r="7" spans="1:12" ht="15.5" x14ac:dyDescent="0.35">
      <c r="A7" s="27">
        <v>4</v>
      </c>
      <c r="B7" s="28" t="s">
        <v>37</v>
      </c>
      <c r="C7" s="29">
        <v>11.9</v>
      </c>
      <c r="D7" s="29">
        <v>30</v>
      </c>
      <c r="E7" s="30">
        <f>Tham_so!$B$5</f>
        <v>22000</v>
      </c>
      <c r="F7" s="29">
        <v>7</v>
      </c>
      <c r="G7" s="29">
        <v>8</v>
      </c>
      <c r="H7" s="29">
        <v>10</v>
      </c>
      <c r="I7" s="29">
        <v>210</v>
      </c>
      <c r="J7" s="30">
        <f t="shared" si="1"/>
        <v>1615075</v>
      </c>
      <c r="K7" s="31">
        <f t="shared" si="0"/>
        <v>10.875</v>
      </c>
      <c r="L7" s="7"/>
    </row>
    <row r="8" spans="1:12" ht="15.5" x14ac:dyDescent="0.35">
      <c r="A8" s="27">
        <v>5</v>
      </c>
      <c r="B8" s="28" t="s">
        <v>38</v>
      </c>
      <c r="C8" s="29">
        <v>11.9</v>
      </c>
      <c r="D8" s="29">
        <v>30</v>
      </c>
      <c r="E8" s="30">
        <f>Tham_so!$B$5</f>
        <v>22000</v>
      </c>
      <c r="F8" s="29">
        <v>4</v>
      </c>
      <c r="G8" s="29">
        <v>8</v>
      </c>
      <c r="H8" s="29">
        <v>5</v>
      </c>
      <c r="I8" s="29">
        <v>105</v>
      </c>
      <c r="J8" s="30">
        <f t="shared" si="1"/>
        <v>823900</v>
      </c>
      <c r="K8" s="31">
        <f t="shared" si="0"/>
        <v>5.5</v>
      </c>
      <c r="L8" s="7"/>
    </row>
    <row r="9" spans="1:12" ht="15.5" x14ac:dyDescent="0.35">
      <c r="A9" s="27">
        <v>6</v>
      </c>
      <c r="B9" s="28" t="s">
        <v>39</v>
      </c>
      <c r="C9" s="29">
        <v>9.3000000000000007</v>
      </c>
      <c r="D9" s="29">
        <v>24</v>
      </c>
      <c r="E9" s="30">
        <f>Tham_so!$B$5</f>
        <v>22000</v>
      </c>
      <c r="F9" s="29">
        <v>12</v>
      </c>
      <c r="G9" s="29">
        <v>10</v>
      </c>
      <c r="H9" s="29">
        <v>15</v>
      </c>
      <c r="I9" s="29">
        <v>328</v>
      </c>
      <c r="J9" s="30">
        <f t="shared" si="1"/>
        <v>1977360</v>
      </c>
      <c r="K9" s="31">
        <f t="shared" si="0"/>
        <v>16.2</v>
      </c>
      <c r="L9" s="7"/>
    </row>
    <row r="10" spans="1:12" ht="15.5" x14ac:dyDescent="0.35">
      <c r="A10" s="27">
        <v>7</v>
      </c>
      <c r="B10" s="28" t="s">
        <v>40</v>
      </c>
      <c r="C10" s="29">
        <v>10.8</v>
      </c>
      <c r="D10" s="29">
        <v>30</v>
      </c>
      <c r="E10" s="30">
        <f>Tham_so!$B$5</f>
        <v>22000</v>
      </c>
      <c r="F10" s="29">
        <v>12</v>
      </c>
      <c r="G10" s="29">
        <v>10</v>
      </c>
      <c r="H10" s="29">
        <v>15</v>
      </c>
      <c r="I10" s="29">
        <v>328</v>
      </c>
      <c r="J10" s="30">
        <f t="shared" si="1"/>
        <v>2449920</v>
      </c>
      <c r="K10" s="31">
        <f t="shared" si="0"/>
        <v>16.2</v>
      </c>
      <c r="L10" s="7"/>
    </row>
    <row r="11" spans="1:12" ht="15.5" x14ac:dyDescent="0.35">
      <c r="A11" s="27">
        <v>8</v>
      </c>
      <c r="B11" s="28" t="s">
        <v>41</v>
      </c>
      <c r="C11" s="29">
        <v>9.3000000000000007</v>
      </c>
      <c r="D11" s="29">
        <v>24</v>
      </c>
      <c r="E11" s="30">
        <f>Tham_so!$B$5</f>
        <v>22000</v>
      </c>
      <c r="F11" s="29">
        <v>6</v>
      </c>
      <c r="G11" s="29">
        <v>10</v>
      </c>
      <c r="H11" s="29">
        <v>8</v>
      </c>
      <c r="I11" s="29">
        <v>164</v>
      </c>
      <c r="J11" s="30">
        <f t="shared" si="1"/>
        <v>988680</v>
      </c>
      <c r="K11" s="31">
        <f t="shared" si="0"/>
        <v>8.6</v>
      </c>
      <c r="L11" s="7"/>
    </row>
    <row r="12" spans="1:12" ht="15.5" x14ac:dyDescent="0.35">
      <c r="A12" s="27">
        <v>9</v>
      </c>
      <c r="B12" s="28" t="s">
        <v>42</v>
      </c>
      <c r="C12" s="29">
        <v>10.8</v>
      </c>
      <c r="D12" s="29">
        <v>30</v>
      </c>
      <c r="E12" s="30">
        <f>Tham_so!$B$5</f>
        <v>22000</v>
      </c>
      <c r="F12" s="29">
        <v>7</v>
      </c>
      <c r="G12" s="29">
        <v>10</v>
      </c>
      <c r="H12" s="29">
        <v>10</v>
      </c>
      <c r="I12" s="29">
        <v>210</v>
      </c>
      <c r="J12" s="30">
        <f t="shared" si="1"/>
        <v>1552320</v>
      </c>
      <c r="K12" s="31">
        <f t="shared" si="0"/>
        <v>10.7</v>
      </c>
      <c r="L12" s="7"/>
    </row>
    <row r="13" spans="1:12" ht="15.5" x14ac:dyDescent="0.35">
      <c r="A13" s="27">
        <v>10</v>
      </c>
      <c r="B13" s="28" t="s">
        <v>43</v>
      </c>
      <c r="C13" s="29">
        <v>9.3000000000000007</v>
      </c>
      <c r="D13" s="29">
        <v>24</v>
      </c>
      <c r="E13" s="30">
        <f>Tham_so!$B$5</f>
        <v>22000</v>
      </c>
      <c r="F13" s="29">
        <v>4</v>
      </c>
      <c r="G13" s="29">
        <v>10</v>
      </c>
      <c r="H13" s="29">
        <v>5</v>
      </c>
      <c r="I13" s="29">
        <v>105</v>
      </c>
      <c r="J13" s="30">
        <f t="shared" si="1"/>
        <v>636240.00000000012</v>
      </c>
      <c r="K13" s="31">
        <f t="shared" si="0"/>
        <v>5.4</v>
      </c>
      <c r="L13" s="7"/>
    </row>
    <row r="14" spans="1:12" ht="15.5" x14ac:dyDescent="0.35">
      <c r="A14" s="27">
        <v>11</v>
      </c>
      <c r="B14" s="28" t="s">
        <v>44</v>
      </c>
      <c r="C14" s="29">
        <v>10.8</v>
      </c>
      <c r="D14" s="29">
        <v>30</v>
      </c>
      <c r="E14" s="30">
        <f>Tham_so!$B$5</f>
        <v>22000</v>
      </c>
      <c r="F14" s="29">
        <v>6</v>
      </c>
      <c r="G14" s="29">
        <v>10</v>
      </c>
      <c r="H14" s="29">
        <v>8</v>
      </c>
      <c r="I14" s="29">
        <v>164</v>
      </c>
      <c r="J14" s="30">
        <f t="shared" si="1"/>
        <v>1224960</v>
      </c>
      <c r="K14" s="31">
        <f t="shared" si="0"/>
        <v>8.6</v>
      </c>
      <c r="L14" s="7"/>
    </row>
    <row r="15" spans="1:12" ht="15.5" x14ac:dyDescent="0.35">
      <c r="A15" s="27">
        <v>12</v>
      </c>
      <c r="B15" s="28" t="s">
        <v>45</v>
      </c>
      <c r="C15" s="29">
        <v>12.6</v>
      </c>
      <c r="D15" s="29">
        <v>37.5</v>
      </c>
      <c r="E15" s="30">
        <f>Tham_so!$B$5</f>
        <v>22000</v>
      </c>
      <c r="F15" s="29">
        <v>12</v>
      </c>
      <c r="G15" s="29">
        <v>10</v>
      </c>
      <c r="H15" s="29">
        <v>15</v>
      </c>
      <c r="I15" s="29">
        <v>328</v>
      </c>
      <c r="J15" s="30">
        <f t="shared" si="1"/>
        <v>3038639.9999999995</v>
      </c>
      <c r="K15" s="31">
        <f t="shared" si="0"/>
        <v>16.2</v>
      </c>
      <c r="L15" s="7"/>
    </row>
    <row r="16" spans="1:12" ht="15.5" x14ac:dyDescent="0.35">
      <c r="A16" s="27">
        <v>13</v>
      </c>
      <c r="B16" s="28" t="s">
        <v>46</v>
      </c>
      <c r="C16" s="29">
        <v>10.8</v>
      </c>
      <c r="D16" s="29">
        <v>30</v>
      </c>
      <c r="E16" s="30">
        <f>Tham_so!$B$5</f>
        <v>22000</v>
      </c>
      <c r="F16" s="29">
        <v>4</v>
      </c>
      <c r="G16" s="29">
        <v>10</v>
      </c>
      <c r="H16" s="29">
        <v>5</v>
      </c>
      <c r="I16" s="29">
        <v>105</v>
      </c>
      <c r="J16" s="30">
        <f t="shared" si="1"/>
        <v>788040</v>
      </c>
      <c r="K16" s="31">
        <f t="shared" si="0"/>
        <v>5.4</v>
      </c>
      <c r="L16" s="7"/>
    </row>
    <row r="17" spans="1:12" ht="15.5" x14ac:dyDescent="0.35">
      <c r="A17" s="27">
        <v>14</v>
      </c>
      <c r="B17" s="28" t="s">
        <v>47</v>
      </c>
      <c r="C17" s="29">
        <v>12.6</v>
      </c>
      <c r="D17" s="29">
        <v>37.5</v>
      </c>
      <c r="E17" s="30">
        <f>Tham_so!$B$5</f>
        <v>22000</v>
      </c>
      <c r="F17" s="29">
        <v>10</v>
      </c>
      <c r="G17" s="29">
        <v>10</v>
      </c>
      <c r="H17" s="29">
        <v>17</v>
      </c>
      <c r="I17" s="29">
        <v>340</v>
      </c>
      <c r="J17" s="30">
        <f t="shared" si="1"/>
        <v>3082200</v>
      </c>
      <c r="K17" s="31">
        <f t="shared" si="0"/>
        <v>18</v>
      </c>
      <c r="L17" s="7"/>
    </row>
    <row r="18" spans="1:12" ht="15.5" x14ac:dyDescent="0.35">
      <c r="A18" s="32">
        <v>15</v>
      </c>
      <c r="B18" s="33" t="s">
        <v>48</v>
      </c>
      <c r="C18" s="34">
        <v>12.6</v>
      </c>
      <c r="D18" s="34">
        <v>37.5</v>
      </c>
      <c r="E18" s="35">
        <f>Tham_so!$B$5</f>
        <v>22000</v>
      </c>
      <c r="F18" s="34">
        <v>6</v>
      </c>
      <c r="G18" s="34">
        <v>10</v>
      </c>
      <c r="H18" s="34">
        <v>8</v>
      </c>
      <c r="I18" s="34">
        <v>164</v>
      </c>
      <c r="J18" s="35">
        <f t="shared" si="1"/>
        <v>1519319.9999999998</v>
      </c>
      <c r="K18" s="36">
        <f t="shared" si="0"/>
        <v>8.6</v>
      </c>
      <c r="L18" s="7"/>
    </row>
    <row r="19" spans="1:12" ht="15.5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 ht="15.5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1"/>
  <sheetViews>
    <sheetView topLeftCell="A54" zoomScaleNormal="100" workbookViewId="0">
      <selection activeCell="A50" sqref="A50"/>
    </sheetView>
  </sheetViews>
  <sheetFormatPr defaultColWidth="8.6328125" defaultRowHeight="14.5" x14ac:dyDescent="0.35"/>
  <cols>
    <col min="1" max="1" width="18.08984375" bestFit="1" customWidth="1"/>
    <col min="2" max="2" width="4.6328125" bestFit="1" customWidth="1"/>
    <col min="3" max="3" width="12.6328125" customWidth="1"/>
    <col min="4" max="4" width="5.54296875" customWidth="1"/>
    <col min="5" max="5" width="12.81640625" customWidth="1"/>
    <col min="6" max="6" width="11.26953125" customWidth="1"/>
    <col min="7" max="7" width="10.453125" customWidth="1"/>
    <col min="8" max="8" width="11" customWidth="1"/>
    <col min="9" max="9" width="10" customWidth="1"/>
    <col min="10" max="10" width="10.26953125" customWidth="1"/>
    <col min="11" max="11" width="10.54296875" customWidth="1"/>
  </cols>
  <sheetData>
    <row r="1" spans="1:11" ht="20" x14ac:dyDescent="0.4">
      <c r="B1" s="13" t="s">
        <v>49</v>
      </c>
    </row>
    <row r="2" spans="1:11" ht="20" x14ac:dyDescent="0.4">
      <c r="C2" s="10"/>
    </row>
    <row r="3" spans="1:11" ht="28" x14ac:dyDescent="0.35">
      <c r="B3" s="20" t="s">
        <v>56</v>
      </c>
      <c r="C3" s="20" t="s">
        <v>24</v>
      </c>
      <c r="D3" s="20" t="s">
        <v>16</v>
      </c>
      <c r="E3" s="20" t="s">
        <v>50</v>
      </c>
      <c r="F3" s="20" t="s">
        <v>57</v>
      </c>
      <c r="G3" s="20" t="s">
        <v>51</v>
      </c>
      <c r="H3" s="20" t="s">
        <v>52</v>
      </c>
      <c r="I3" s="20" t="s">
        <v>53</v>
      </c>
      <c r="J3" s="20" t="s">
        <v>54</v>
      </c>
      <c r="K3" s="20" t="s">
        <v>55</v>
      </c>
    </row>
    <row r="4" spans="1:11" x14ac:dyDescent="0.35">
      <c r="A4" s="21" t="s">
        <v>71</v>
      </c>
      <c r="B4" s="14">
        <v>1</v>
      </c>
      <c r="C4" s="15" t="s">
        <v>34</v>
      </c>
      <c r="D4" s="14" t="s">
        <v>18</v>
      </c>
      <c r="E4" s="37">
        <v>9200000</v>
      </c>
      <c r="F4" s="37">
        <v>7000000</v>
      </c>
      <c r="G4" s="38">
        <f>Dinh_muc!J4</f>
        <v>3882000</v>
      </c>
      <c r="H4" s="38">
        <f>Tham_so!$B$18</f>
        <v>1500000</v>
      </c>
      <c r="I4" s="38">
        <f t="shared" ref="I4:I51" si="0">E4-G4-H4</f>
        <v>3818000</v>
      </c>
      <c r="J4" s="38">
        <v>0</v>
      </c>
      <c r="K4" s="38">
        <f t="shared" ref="K4:K51" si="1">I4-J4</f>
        <v>3818000</v>
      </c>
    </row>
    <row r="5" spans="1:11" x14ac:dyDescent="0.35">
      <c r="A5" s="21"/>
      <c r="B5" s="16">
        <v>2</v>
      </c>
      <c r="C5" s="17" t="s">
        <v>34</v>
      </c>
      <c r="D5" s="16" t="s">
        <v>19</v>
      </c>
      <c r="E5" s="39">
        <v>9600000</v>
      </c>
      <c r="F5" s="39">
        <v>7000000</v>
      </c>
      <c r="G5" s="40">
        <f>Dinh_muc!J4</f>
        <v>3882000</v>
      </c>
      <c r="H5" s="40">
        <f>Tham_so!$B$19</f>
        <v>1600000</v>
      </c>
      <c r="I5" s="40">
        <f t="shared" si="0"/>
        <v>4118000</v>
      </c>
      <c r="J5" s="40">
        <f>Tham_so!$D$9*Dinh_muc!K4</f>
        <v>1483076.9230769232</v>
      </c>
      <c r="K5" s="40">
        <f t="shared" si="1"/>
        <v>2634923.076923077</v>
      </c>
    </row>
    <row r="6" spans="1:11" x14ac:dyDescent="0.35">
      <c r="A6" s="21"/>
      <c r="B6" s="16">
        <v>3</v>
      </c>
      <c r="C6" s="17" t="s">
        <v>34</v>
      </c>
      <c r="D6" s="16" t="s">
        <v>20</v>
      </c>
      <c r="E6" s="39">
        <v>9700000</v>
      </c>
      <c r="F6" s="39">
        <v>7000000</v>
      </c>
      <c r="G6" s="40">
        <f>Dinh_muc!J4</f>
        <v>3882000</v>
      </c>
      <c r="H6" s="40">
        <f>Tham_so!$B$20</f>
        <v>1700000</v>
      </c>
      <c r="I6" s="40">
        <f t="shared" si="0"/>
        <v>4118000</v>
      </c>
      <c r="J6" s="40">
        <f>Tham_so!$D$9*Dinh_muc!K4</f>
        <v>1483076.9230769232</v>
      </c>
      <c r="K6" s="40">
        <f t="shared" si="1"/>
        <v>2634923.076923077</v>
      </c>
    </row>
    <row r="7" spans="1:11" x14ac:dyDescent="0.35">
      <c r="A7" s="21"/>
      <c r="B7" s="16">
        <v>4</v>
      </c>
      <c r="C7" s="17" t="s">
        <v>34</v>
      </c>
      <c r="D7" s="16" t="s">
        <v>21</v>
      </c>
      <c r="E7" s="39">
        <v>9800000</v>
      </c>
      <c r="F7" s="39">
        <v>7000000</v>
      </c>
      <c r="G7" s="40">
        <f>Dinh_muc!J4</f>
        <v>3882000</v>
      </c>
      <c r="H7" s="40">
        <f>Tham_so!$B$21</f>
        <v>1800000</v>
      </c>
      <c r="I7" s="40">
        <f t="shared" si="0"/>
        <v>4118000</v>
      </c>
      <c r="J7" s="40">
        <f>Tham_so!$D$9*Dinh_muc!K4</f>
        <v>1483076.9230769232</v>
      </c>
      <c r="K7" s="40">
        <f t="shared" si="1"/>
        <v>2634923.076923077</v>
      </c>
    </row>
    <row r="8" spans="1:11" x14ac:dyDescent="0.35">
      <c r="A8" s="21"/>
      <c r="B8" s="16">
        <v>5</v>
      </c>
      <c r="C8" s="17" t="s">
        <v>34</v>
      </c>
      <c r="D8" s="16" t="s">
        <v>22</v>
      </c>
      <c r="E8" s="39">
        <v>10100000</v>
      </c>
      <c r="F8" s="39">
        <v>7000000</v>
      </c>
      <c r="G8" s="40">
        <f>Dinh_muc!J4</f>
        <v>3882000</v>
      </c>
      <c r="H8" s="40">
        <f>Tham_so!$B$22</f>
        <v>2000000</v>
      </c>
      <c r="I8" s="40">
        <f t="shared" si="0"/>
        <v>4218000</v>
      </c>
      <c r="J8" s="40">
        <f>Tham_so!$D$9*Dinh_muc!K4</f>
        <v>1483076.9230769232</v>
      </c>
      <c r="K8" s="40">
        <f t="shared" si="1"/>
        <v>2734923.076923077</v>
      </c>
    </row>
    <row r="9" spans="1:11" x14ac:dyDescent="0.35">
      <c r="A9" s="21" t="s">
        <v>72</v>
      </c>
      <c r="B9" s="16">
        <v>6</v>
      </c>
      <c r="C9" s="17" t="s">
        <v>35</v>
      </c>
      <c r="D9" s="16" t="s">
        <v>18</v>
      </c>
      <c r="E9" s="39">
        <v>9200000</v>
      </c>
      <c r="F9" s="39">
        <v>7000000</v>
      </c>
      <c r="G9" s="40">
        <f>Dinh_muc!J5</f>
        <v>3538800</v>
      </c>
      <c r="H9" s="40">
        <f>Tham_so!$B$18</f>
        <v>1500000</v>
      </c>
      <c r="I9" s="40">
        <f t="shared" si="0"/>
        <v>4161200</v>
      </c>
      <c r="J9" s="40">
        <v>0</v>
      </c>
      <c r="K9" s="40">
        <f t="shared" si="1"/>
        <v>4161200</v>
      </c>
    </row>
    <row r="10" spans="1:11" x14ac:dyDescent="0.35">
      <c r="A10" s="21"/>
      <c r="B10" s="16">
        <v>7</v>
      </c>
      <c r="C10" s="17" t="s">
        <v>35</v>
      </c>
      <c r="D10" s="16" t="s">
        <v>19</v>
      </c>
      <c r="E10" s="39">
        <v>9600000</v>
      </c>
      <c r="F10" s="39">
        <v>7000000</v>
      </c>
      <c r="G10" s="40">
        <f>Dinh_muc!J5</f>
        <v>3538800</v>
      </c>
      <c r="H10" s="40">
        <f>Tham_so!$B$19</f>
        <v>1600000</v>
      </c>
      <c r="I10" s="40">
        <f t="shared" si="0"/>
        <v>4461200</v>
      </c>
      <c r="J10" s="40">
        <f>Tham_so!$D$9*Dinh_muc!K5</f>
        <v>990769.23076923087</v>
      </c>
      <c r="K10" s="40">
        <f t="shared" si="1"/>
        <v>3470430.769230769</v>
      </c>
    </row>
    <row r="11" spans="1:11" x14ac:dyDescent="0.35">
      <c r="A11" s="21"/>
      <c r="B11" s="16">
        <v>8</v>
      </c>
      <c r="C11" s="17" t="s">
        <v>35</v>
      </c>
      <c r="D11" s="16" t="s">
        <v>20</v>
      </c>
      <c r="E11" s="39">
        <v>9700000</v>
      </c>
      <c r="F11" s="39">
        <v>7000000</v>
      </c>
      <c r="G11" s="40">
        <f>Dinh_muc!J5</f>
        <v>3538800</v>
      </c>
      <c r="H11" s="40">
        <f>Tham_so!$B$20</f>
        <v>1700000</v>
      </c>
      <c r="I11" s="40">
        <f t="shared" si="0"/>
        <v>4461200</v>
      </c>
      <c r="J11" s="40">
        <f>Tham_so!$D$9*Dinh_muc!K5</f>
        <v>990769.23076923087</v>
      </c>
      <c r="K11" s="40">
        <f t="shared" si="1"/>
        <v>3470430.769230769</v>
      </c>
    </row>
    <row r="12" spans="1:11" x14ac:dyDescent="0.35">
      <c r="A12" s="21"/>
      <c r="B12" s="16">
        <v>9</v>
      </c>
      <c r="C12" s="17" t="s">
        <v>35</v>
      </c>
      <c r="D12" s="16" t="s">
        <v>21</v>
      </c>
      <c r="E12" s="39">
        <v>9800000</v>
      </c>
      <c r="F12" s="39">
        <v>7000000</v>
      </c>
      <c r="G12" s="40">
        <f>Dinh_muc!J5</f>
        <v>3538800</v>
      </c>
      <c r="H12" s="40">
        <f>Tham_so!$B$21</f>
        <v>1800000</v>
      </c>
      <c r="I12" s="40">
        <f t="shared" si="0"/>
        <v>4461200</v>
      </c>
      <c r="J12" s="40">
        <f>Tham_so!$D$9*Dinh_muc!K5</f>
        <v>990769.23076923087</v>
      </c>
      <c r="K12" s="40">
        <f t="shared" si="1"/>
        <v>3470430.769230769</v>
      </c>
    </row>
    <row r="13" spans="1:11" x14ac:dyDescent="0.35">
      <c r="A13" s="21"/>
      <c r="B13" s="16">
        <v>10</v>
      </c>
      <c r="C13" s="17" t="s">
        <v>35</v>
      </c>
      <c r="D13" s="16" t="s">
        <v>22</v>
      </c>
      <c r="E13" s="39">
        <v>10100000</v>
      </c>
      <c r="F13" s="39">
        <v>7000000</v>
      </c>
      <c r="G13" s="40">
        <f>Dinh_muc!J5</f>
        <v>3538800</v>
      </c>
      <c r="H13" s="40">
        <f>Tham_so!$B$22</f>
        <v>2000000</v>
      </c>
      <c r="I13" s="40">
        <f t="shared" si="0"/>
        <v>4561200</v>
      </c>
      <c r="J13" s="40">
        <f>Tham_so!$D$9*Dinh_muc!K5</f>
        <v>990769.23076923087</v>
      </c>
      <c r="K13" s="40">
        <f t="shared" si="1"/>
        <v>3570430.769230769</v>
      </c>
    </row>
    <row r="14" spans="1:11" x14ac:dyDescent="0.35">
      <c r="A14" s="21" t="s">
        <v>58</v>
      </c>
      <c r="B14" s="16">
        <v>11</v>
      </c>
      <c r="C14" s="17" t="s">
        <v>36</v>
      </c>
      <c r="D14" s="16" t="s">
        <v>18</v>
      </c>
      <c r="E14" s="39">
        <v>10000000</v>
      </c>
      <c r="F14" s="39">
        <v>8000000</v>
      </c>
      <c r="G14" s="40">
        <f>Dinh_muc!J6</f>
        <v>4295775</v>
      </c>
      <c r="H14" s="40">
        <f>E14-F14</f>
        <v>2000000</v>
      </c>
      <c r="I14" s="40">
        <f t="shared" si="0"/>
        <v>3704225</v>
      </c>
      <c r="J14" s="40">
        <v>0</v>
      </c>
      <c r="K14" s="40">
        <f t="shared" si="1"/>
        <v>3704225</v>
      </c>
    </row>
    <row r="15" spans="1:11" x14ac:dyDescent="0.35">
      <c r="A15" s="21"/>
      <c r="B15" s="16">
        <v>12</v>
      </c>
      <c r="C15" s="17" t="s">
        <v>36</v>
      </c>
      <c r="D15" s="16" t="s">
        <v>19</v>
      </c>
      <c r="E15" s="39">
        <v>10300000</v>
      </c>
      <c r="F15" s="39">
        <v>8000000</v>
      </c>
      <c r="G15" s="40">
        <f>Dinh_muc!J6</f>
        <v>4295775</v>
      </c>
      <c r="H15" s="40">
        <f>E15-F15</f>
        <v>2300000</v>
      </c>
      <c r="I15" s="40">
        <f t="shared" si="0"/>
        <v>3704225</v>
      </c>
      <c r="J15" s="40">
        <f>Tham_so!$D$10*Dinh_muc!K6</f>
        <v>2052884.6153846153</v>
      </c>
      <c r="K15" s="40">
        <f t="shared" si="1"/>
        <v>1651340.3846153847</v>
      </c>
    </row>
    <row r="16" spans="1:11" x14ac:dyDescent="0.35">
      <c r="A16" s="21"/>
      <c r="B16" s="16">
        <v>13</v>
      </c>
      <c r="C16" s="17" t="s">
        <v>36</v>
      </c>
      <c r="D16" s="16" t="s">
        <v>20</v>
      </c>
      <c r="E16" s="39">
        <v>10500000</v>
      </c>
      <c r="F16" s="39">
        <v>8000000</v>
      </c>
      <c r="G16" s="40">
        <f>Dinh_muc!J6</f>
        <v>4295775</v>
      </c>
      <c r="H16" s="40">
        <f>E16-F16</f>
        <v>2500000</v>
      </c>
      <c r="I16" s="40">
        <f t="shared" si="0"/>
        <v>3704225</v>
      </c>
      <c r="J16" s="40">
        <f>Tham_so!$D$10*Dinh_muc!K6</f>
        <v>2052884.6153846153</v>
      </c>
      <c r="K16" s="40">
        <f t="shared" si="1"/>
        <v>1651340.3846153847</v>
      </c>
    </row>
    <row r="17" spans="1:11" x14ac:dyDescent="0.35">
      <c r="A17" s="21" t="s">
        <v>59</v>
      </c>
      <c r="B17" s="16">
        <v>14</v>
      </c>
      <c r="C17" s="17" t="s">
        <v>37</v>
      </c>
      <c r="D17" s="16" t="s">
        <v>18</v>
      </c>
      <c r="E17" s="39">
        <v>6000000</v>
      </c>
      <c r="F17" s="39">
        <v>5000000</v>
      </c>
      <c r="G17" s="40">
        <f>Dinh_muc!J7</f>
        <v>1615075</v>
      </c>
      <c r="H17" s="40">
        <f t="shared" ref="H17:H51" si="2">MAX(E17-F17,0)</f>
        <v>1000000</v>
      </c>
      <c r="I17" s="40">
        <f t="shared" si="0"/>
        <v>3384925</v>
      </c>
      <c r="J17" s="40">
        <v>0</v>
      </c>
      <c r="K17" s="40">
        <f t="shared" si="1"/>
        <v>3384925</v>
      </c>
    </row>
    <row r="18" spans="1:11" x14ac:dyDescent="0.35">
      <c r="A18" s="21"/>
      <c r="B18" s="16">
        <v>15</v>
      </c>
      <c r="C18" s="17" t="s">
        <v>37</v>
      </c>
      <c r="D18" s="16" t="s">
        <v>19</v>
      </c>
      <c r="E18" s="39">
        <v>6000000</v>
      </c>
      <c r="F18" s="39">
        <v>5000000</v>
      </c>
      <c r="G18" s="40">
        <f>Dinh_muc!J7</f>
        <v>1615075</v>
      </c>
      <c r="H18" s="40">
        <f t="shared" si="2"/>
        <v>1000000</v>
      </c>
      <c r="I18" s="40">
        <f t="shared" si="0"/>
        <v>3384925</v>
      </c>
      <c r="J18" s="40">
        <f>Tham_so!$D$11*Dinh_muc!K7</f>
        <v>543750</v>
      </c>
      <c r="K18" s="40">
        <f t="shared" si="1"/>
        <v>2841175</v>
      </c>
    </row>
    <row r="19" spans="1:11" x14ac:dyDescent="0.35">
      <c r="A19" s="21" t="s">
        <v>60</v>
      </c>
      <c r="B19" s="16">
        <v>16</v>
      </c>
      <c r="C19" s="17" t="s">
        <v>38</v>
      </c>
      <c r="D19" s="16" t="s">
        <v>18</v>
      </c>
      <c r="E19" s="39">
        <v>6000000</v>
      </c>
      <c r="F19" s="39">
        <v>5000000</v>
      </c>
      <c r="G19" s="40">
        <f>Dinh_muc!J8</f>
        <v>823900</v>
      </c>
      <c r="H19" s="40">
        <f t="shared" si="2"/>
        <v>1000000</v>
      </c>
      <c r="I19" s="40">
        <f t="shared" si="0"/>
        <v>4176100</v>
      </c>
      <c r="J19" s="40">
        <v>0</v>
      </c>
      <c r="K19" s="40">
        <f t="shared" si="1"/>
        <v>4176100</v>
      </c>
    </row>
    <row r="20" spans="1:11" x14ac:dyDescent="0.35">
      <c r="A20" s="21"/>
      <c r="B20" s="16">
        <v>17</v>
      </c>
      <c r="C20" s="17" t="s">
        <v>38</v>
      </c>
      <c r="D20" s="16" t="s">
        <v>19</v>
      </c>
      <c r="E20" s="39">
        <v>7000000</v>
      </c>
      <c r="F20" s="39">
        <v>5000000</v>
      </c>
      <c r="G20" s="40">
        <f>Dinh_muc!J8</f>
        <v>823900</v>
      </c>
      <c r="H20" s="40">
        <f t="shared" si="2"/>
        <v>2000000</v>
      </c>
      <c r="I20" s="40">
        <f t="shared" si="0"/>
        <v>4176100</v>
      </c>
      <c r="J20" s="40">
        <f>Tham_so!$D$11*Dinh_muc!K8</f>
        <v>275000</v>
      </c>
      <c r="K20" s="40">
        <f t="shared" si="1"/>
        <v>3901100</v>
      </c>
    </row>
    <row r="21" spans="1:11" x14ac:dyDescent="0.35">
      <c r="A21" s="21"/>
      <c r="B21" s="16">
        <v>18</v>
      </c>
      <c r="C21" s="17" t="s">
        <v>38</v>
      </c>
      <c r="D21" s="16" t="s">
        <v>20</v>
      </c>
      <c r="E21" s="39">
        <v>8000000</v>
      </c>
      <c r="F21" s="39">
        <v>5000000</v>
      </c>
      <c r="G21" s="40">
        <f>Dinh_muc!J8</f>
        <v>823900</v>
      </c>
      <c r="H21" s="40">
        <f t="shared" si="2"/>
        <v>3000000</v>
      </c>
      <c r="I21" s="40">
        <f t="shared" si="0"/>
        <v>4176100</v>
      </c>
      <c r="J21" s="40">
        <f>Tham_so!$D$11*Dinh_muc!K8</f>
        <v>275000</v>
      </c>
      <c r="K21" s="40">
        <f t="shared" si="1"/>
        <v>3901100</v>
      </c>
    </row>
    <row r="22" spans="1:11" x14ac:dyDescent="0.35">
      <c r="A22" s="21" t="s">
        <v>61</v>
      </c>
      <c r="B22" s="16">
        <v>19</v>
      </c>
      <c r="C22" s="17" t="s">
        <v>39</v>
      </c>
      <c r="D22" s="16" t="s">
        <v>18</v>
      </c>
      <c r="E22" s="39">
        <v>6000000</v>
      </c>
      <c r="F22" s="39">
        <v>6000000</v>
      </c>
      <c r="G22" s="40">
        <f>Dinh_muc!J9</f>
        <v>1977360</v>
      </c>
      <c r="H22" s="40">
        <f t="shared" si="2"/>
        <v>0</v>
      </c>
      <c r="I22" s="40">
        <f t="shared" si="0"/>
        <v>4022640</v>
      </c>
      <c r="J22" s="40">
        <v>0</v>
      </c>
      <c r="K22" s="40">
        <f t="shared" si="1"/>
        <v>4022640</v>
      </c>
    </row>
    <row r="23" spans="1:11" x14ac:dyDescent="0.35">
      <c r="A23" s="21"/>
      <c r="B23" s="16">
        <v>20</v>
      </c>
      <c r="C23" s="17" t="s">
        <v>39</v>
      </c>
      <c r="D23" s="16" t="s">
        <v>19</v>
      </c>
      <c r="E23" s="39">
        <v>7000000</v>
      </c>
      <c r="F23" s="39">
        <v>6000000</v>
      </c>
      <c r="G23" s="40">
        <f>Dinh_muc!J9</f>
        <v>1977360</v>
      </c>
      <c r="H23" s="40">
        <f t="shared" si="2"/>
        <v>1000000</v>
      </c>
      <c r="I23" s="40">
        <f t="shared" si="0"/>
        <v>4022640</v>
      </c>
      <c r="J23" s="40">
        <f>Tham_so!$D$12*Dinh_muc!K9</f>
        <v>685384.61538461526</v>
      </c>
      <c r="K23" s="40">
        <f t="shared" si="1"/>
        <v>3337255.384615385</v>
      </c>
    </row>
    <row r="24" spans="1:11" x14ac:dyDescent="0.35">
      <c r="A24" s="21"/>
      <c r="B24" s="16">
        <v>21</v>
      </c>
      <c r="C24" s="17" t="s">
        <v>39</v>
      </c>
      <c r="D24" s="16" t="s">
        <v>20</v>
      </c>
      <c r="E24" s="39">
        <v>8000000</v>
      </c>
      <c r="F24" s="39">
        <v>6000000</v>
      </c>
      <c r="G24" s="40">
        <f>Dinh_muc!J9</f>
        <v>1977360</v>
      </c>
      <c r="H24" s="40">
        <f t="shared" si="2"/>
        <v>2000000</v>
      </c>
      <c r="I24" s="40">
        <f t="shared" si="0"/>
        <v>4022640</v>
      </c>
      <c r="J24" s="40">
        <f>Tham_so!$D$12*Dinh_muc!K9</f>
        <v>685384.61538461526</v>
      </c>
      <c r="K24" s="40">
        <f t="shared" si="1"/>
        <v>3337255.384615385</v>
      </c>
    </row>
    <row r="25" spans="1:11" x14ac:dyDescent="0.35">
      <c r="A25" s="21" t="s">
        <v>62</v>
      </c>
      <c r="B25" s="16">
        <v>22</v>
      </c>
      <c r="C25" s="17" t="s">
        <v>40</v>
      </c>
      <c r="D25" s="16" t="s">
        <v>18</v>
      </c>
      <c r="E25" s="39">
        <v>6000000</v>
      </c>
      <c r="F25" s="39">
        <v>7000000</v>
      </c>
      <c r="G25" s="40">
        <f>Dinh_muc!J10</f>
        <v>2449920</v>
      </c>
      <c r="H25" s="40">
        <f t="shared" si="2"/>
        <v>0</v>
      </c>
      <c r="I25" s="40">
        <f t="shared" si="0"/>
        <v>3550080</v>
      </c>
      <c r="J25" s="40">
        <v>0</v>
      </c>
      <c r="K25" s="40">
        <f t="shared" si="1"/>
        <v>3550080</v>
      </c>
    </row>
    <row r="26" spans="1:11" x14ac:dyDescent="0.35">
      <c r="A26" s="21"/>
      <c r="B26" s="16">
        <v>23</v>
      </c>
      <c r="C26" s="17" t="s">
        <v>40</v>
      </c>
      <c r="D26" s="16" t="s">
        <v>19</v>
      </c>
      <c r="E26" s="39">
        <v>7000000</v>
      </c>
      <c r="F26" s="39">
        <v>7000000</v>
      </c>
      <c r="G26" s="40">
        <f>Dinh_muc!J10</f>
        <v>2449920</v>
      </c>
      <c r="H26" s="40">
        <f t="shared" si="2"/>
        <v>0</v>
      </c>
      <c r="I26" s="40">
        <f t="shared" si="0"/>
        <v>4550080</v>
      </c>
      <c r="J26" s="40">
        <f>Tham_so!$D$13*Dinh_muc!K10</f>
        <v>872307.69230769225</v>
      </c>
      <c r="K26" s="40">
        <f t="shared" si="1"/>
        <v>3677772.307692308</v>
      </c>
    </row>
    <row r="27" spans="1:11" x14ac:dyDescent="0.35">
      <c r="A27" s="21"/>
      <c r="B27" s="16">
        <v>24</v>
      </c>
      <c r="C27" s="17" t="s">
        <v>40</v>
      </c>
      <c r="D27" s="16" t="s">
        <v>20</v>
      </c>
      <c r="E27" s="39">
        <v>8000000</v>
      </c>
      <c r="F27" s="39">
        <v>7000000</v>
      </c>
      <c r="G27" s="40">
        <f>Dinh_muc!J10</f>
        <v>2449920</v>
      </c>
      <c r="H27" s="40">
        <f t="shared" si="2"/>
        <v>1000000</v>
      </c>
      <c r="I27" s="40">
        <f t="shared" si="0"/>
        <v>4550080</v>
      </c>
      <c r="J27" s="40">
        <f>Tham_so!$D$13*Dinh_muc!K10</f>
        <v>872307.69230769225</v>
      </c>
      <c r="K27" s="40">
        <f t="shared" si="1"/>
        <v>3677772.307692308</v>
      </c>
    </row>
    <row r="28" spans="1:11" x14ac:dyDescent="0.35">
      <c r="A28" s="21" t="s">
        <v>63</v>
      </c>
      <c r="B28" s="16">
        <v>25</v>
      </c>
      <c r="C28" s="17" t="s">
        <v>41</v>
      </c>
      <c r="D28" s="16" t="s">
        <v>18</v>
      </c>
      <c r="E28" s="39">
        <v>6000000</v>
      </c>
      <c r="F28" s="39">
        <v>5000000</v>
      </c>
      <c r="G28" s="40">
        <f>Dinh_muc!J11</f>
        <v>988680</v>
      </c>
      <c r="H28" s="40">
        <f t="shared" si="2"/>
        <v>1000000</v>
      </c>
      <c r="I28" s="40">
        <f t="shared" si="0"/>
        <v>4011320</v>
      </c>
      <c r="J28" s="40">
        <v>0</v>
      </c>
      <c r="K28" s="40">
        <f t="shared" si="1"/>
        <v>4011320</v>
      </c>
    </row>
    <row r="29" spans="1:11" x14ac:dyDescent="0.35">
      <c r="A29" s="21"/>
      <c r="B29" s="16">
        <v>26</v>
      </c>
      <c r="C29" s="17" t="s">
        <v>41</v>
      </c>
      <c r="D29" s="16" t="s">
        <v>19</v>
      </c>
      <c r="E29" s="39">
        <v>7000000</v>
      </c>
      <c r="F29" s="39">
        <v>5000000</v>
      </c>
      <c r="G29" s="40">
        <f>Dinh_muc!J11</f>
        <v>988680</v>
      </c>
      <c r="H29" s="40">
        <f t="shared" si="2"/>
        <v>2000000</v>
      </c>
      <c r="I29" s="40">
        <f t="shared" si="0"/>
        <v>4011320</v>
      </c>
      <c r="J29" s="40">
        <f>Tham_so!$D$12*Dinh_muc!K11</f>
        <v>363846.15384615381</v>
      </c>
      <c r="K29" s="40">
        <f t="shared" si="1"/>
        <v>3647473.846153846</v>
      </c>
    </row>
    <row r="30" spans="1:11" x14ac:dyDescent="0.35">
      <c r="A30" s="21"/>
      <c r="B30" s="16">
        <v>27</v>
      </c>
      <c r="C30" s="17" t="s">
        <v>41</v>
      </c>
      <c r="D30" s="16" t="s">
        <v>20</v>
      </c>
      <c r="E30" s="39">
        <v>8000000</v>
      </c>
      <c r="F30" s="39">
        <v>5000000</v>
      </c>
      <c r="G30" s="40">
        <f>Dinh_muc!J11</f>
        <v>988680</v>
      </c>
      <c r="H30" s="40">
        <f t="shared" si="2"/>
        <v>3000000</v>
      </c>
      <c r="I30" s="40">
        <f t="shared" si="0"/>
        <v>4011320</v>
      </c>
      <c r="J30" s="40">
        <f>Tham_so!$D$12*Dinh_muc!K11</f>
        <v>363846.15384615381</v>
      </c>
      <c r="K30" s="40">
        <f t="shared" si="1"/>
        <v>3647473.846153846</v>
      </c>
    </row>
    <row r="31" spans="1:11" x14ac:dyDescent="0.35">
      <c r="A31" s="21" t="s">
        <v>64</v>
      </c>
      <c r="B31" s="16">
        <v>28</v>
      </c>
      <c r="C31" s="17" t="s">
        <v>42</v>
      </c>
      <c r="D31" s="16" t="s">
        <v>18</v>
      </c>
      <c r="E31" s="39">
        <v>6000000</v>
      </c>
      <c r="F31" s="39">
        <v>6000000</v>
      </c>
      <c r="G31" s="40">
        <f>Dinh_muc!J12</f>
        <v>1552320</v>
      </c>
      <c r="H31" s="40">
        <f t="shared" si="2"/>
        <v>0</v>
      </c>
      <c r="I31" s="40">
        <f t="shared" si="0"/>
        <v>4447680</v>
      </c>
      <c r="J31" s="40">
        <v>0</v>
      </c>
      <c r="K31" s="40">
        <f t="shared" si="1"/>
        <v>4447680</v>
      </c>
    </row>
    <row r="32" spans="1:11" x14ac:dyDescent="0.35">
      <c r="A32" s="21"/>
      <c r="B32" s="16">
        <v>29</v>
      </c>
      <c r="C32" s="17" t="s">
        <v>42</v>
      </c>
      <c r="D32" s="16" t="s">
        <v>19</v>
      </c>
      <c r="E32" s="39">
        <v>7000000</v>
      </c>
      <c r="F32" s="39">
        <v>6000000</v>
      </c>
      <c r="G32" s="40">
        <f>Dinh_muc!J12</f>
        <v>1552320</v>
      </c>
      <c r="H32" s="40">
        <f t="shared" si="2"/>
        <v>1000000</v>
      </c>
      <c r="I32" s="40">
        <f t="shared" si="0"/>
        <v>4447680</v>
      </c>
      <c r="J32" s="40">
        <f>Tham_so!$D$13*Dinh_muc!K12</f>
        <v>576153.84615384613</v>
      </c>
      <c r="K32" s="40">
        <f t="shared" si="1"/>
        <v>3871526.153846154</v>
      </c>
    </row>
    <row r="33" spans="1:11" x14ac:dyDescent="0.35">
      <c r="A33" s="21"/>
      <c r="B33" s="16">
        <v>30</v>
      </c>
      <c r="C33" s="17" t="s">
        <v>42</v>
      </c>
      <c r="D33" s="16" t="s">
        <v>20</v>
      </c>
      <c r="E33" s="39">
        <v>8000000</v>
      </c>
      <c r="F33" s="39">
        <v>6000000</v>
      </c>
      <c r="G33" s="40">
        <f>Dinh_muc!J12</f>
        <v>1552320</v>
      </c>
      <c r="H33" s="40">
        <f t="shared" si="2"/>
        <v>2000000</v>
      </c>
      <c r="I33" s="40">
        <f t="shared" si="0"/>
        <v>4447680</v>
      </c>
      <c r="J33" s="40">
        <f>Tham_so!$D$13*Dinh_muc!K12</f>
        <v>576153.84615384613</v>
      </c>
      <c r="K33" s="40">
        <f t="shared" si="1"/>
        <v>3871526.153846154</v>
      </c>
    </row>
    <row r="34" spans="1:11" x14ac:dyDescent="0.35">
      <c r="A34" s="21" t="s">
        <v>65</v>
      </c>
      <c r="B34" s="16">
        <v>31</v>
      </c>
      <c r="C34" s="17" t="s">
        <v>43</v>
      </c>
      <c r="D34" s="16" t="s">
        <v>18</v>
      </c>
      <c r="E34" s="39">
        <v>6000000</v>
      </c>
      <c r="F34" s="39">
        <v>5000000</v>
      </c>
      <c r="G34" s="40">
        <f>Dinh_muc!J13</f>
        <v>636240.00000000012</v>
      </c>
      <c r="H34" s="40">
        <f t="shared" si="2"/>
        <v>1000000</v>
      </c>
      <c r="I34" s="40">
        <f t="shared" si="0"/>
        <v>4363760</v>
      </c>
      <c r="J34" s="40">
        <v>0</v>
      </c>
      <c r="K34" s="40">
        <f t="shared" si="1"/>
        <v>4363760</v>
      </c>
    </row>
    <row r="35" spans="1:11" x14ac:dyDescent="0.35">
      <c r="A35" s="21"/>
      <c r="B35" s="16">
        <v>32</v>
      </c>
      <c r="C35" s="17" t="s">
        <v>43</v>
      </c>
      <c r="D35" s="16" t="s">
        <v>19</v>
      </c>
      <c r="E35" s="39">
        <v>7000000</v>
      </c>
      <c r="F35" s="39">
        <v>5000000</v>
      </c>
      <c r="G35" s="40">
        <f>Dinh_muc!J13</f>
        <v>636240.00000000012</v>
      </c>
      <c r="H35" s="40">
        <f t="shared" si="2"/>
        <v>2000000</v>
      </c>
      <c r="I35" s="40">
        <f t="shared" si="0"/>
        <v>4363760</v>
      </c>
      <c r="J35" s="40">
        <f>Tham_so!$D$12*Dinh_muc!K13</f>
        <v>228461.53846153847</v>
      </c>
      <c r="K35" s="40">
        <f t="shared" si="1"/>
        <v>4135298.4615384615</v>
      </c>
    </row>
    <row r="36" spans="1:11" x14ac:dyDescent="0.35">
      <c r="A36" s="21"/>
      <c r="B36" s="16">
        <v>33</v>
      </c>
      <c r="C36" s="17" t="s">
        <v>43</v>
      </c>
      <c r="D36" s="16" t="s">
        <v>20</v>
      </c>
      <c r="E36" s="39">
        <v>8000000</v>
      </c>
      <c r="F36" s="39">
        <v>5000000</v>
      </c>
      <c r="G36" s="40">
        <f>Dinh_muc!J13</f>
        <v>636240.00000000012</v>
      </c>
      <c r="H36" s="40">
        <f t="shared" si="2"/>
        <v>3000000</v>
      </c>
      <c r="I36" s="40">
        <f t="shared" si="0"/>
        <v>4363760</v>
      </c>
      <c r="J36" s="40">
        <f>Tham_so!$D$12*Dinh_muc!K13</f>
        <v>228461.53846153847</v>
      </c>
      <c r="K36" s="40">
        <f t="shared" si="1"/>
        <v>4135298.4615384615</v>
      </c>
    </row>
    <row r="37" spans="1:11" x14ac:dyDescent="0.35">
      <c r="A37" s="21" t="s">
        <v>66</v>
      </c>
      <c r="B37" s="16">
        <v>34</v>
      </c>
      <c r="C37" s="17" t="s">
        <v>44</v>
      </c>
      <c r="D37" s="16" t="s">
        <v>18</v>
      </c>
      <c r="E37" s="39">
        <v>6000000</v>
      </c>
      <c r="F37" s="39">
        <v>6000000</v>
      </c>
      <c r="G37" s="40">
        <f>Dinh_muc!J14</f>
        <v>1224960</v>
      </c>
      <c r="H37" s="40">
        <f t="shared" si="2"/>
        <v>0</v>
      </c>
      <c r="I37" s="40">
        <f t="shared" si="0"/>
        <v>4775040</v>
      </c>
      <c r="J37" s="40">
        <v>0</v>
      </c>
      <c r="K37" s="40">
        <f t="shared" si="1"/>
        <v>4775040</v>
      </c>
    </row>
    <row r="38" spans="1:11" x14ac:dyDescent="0.35">
      <c r="A38" s="21"/>
      <c r="B38" s="16">
        <v>35</v>
      </c>
      <c r="C38" s="17" t="s">
        <v>44</v>
      </c>
      <c r="D38" s="16" t="s">
        <v>19</v>
      </c>
      <c r="E38" s="39">
        <v>7000000</v>
      </c>
      <c r="F38" s="39">
        <v>6000000</v>
      </c>
      <c r="G38" s="40">
        <f>Dinh_muc!J14</f>
        <v>1224960</v>
      </c>
      <c r="H38" s="40">
        <f t="shared" si="2"/>
        <v>1000000</v>
      </c>
      <c r="I38" s="40">
        <f t="shared" si="0"/>
        <v>4775040</v>
      </c>
      <c r="J38" s="40">
        <f>Tham_so!$D$13*Dinh_muc!K14</f>
        <v>463076.92307692306</v>
      </c>
      <c r="K38" s="40">
        <f t="shared" si="1"/>
        <v>4311963.076923077</v>
      </c>
    </row>
    <row r="39" spans="1:11" x14ac:dyDescent="0.35">
      <c r="A39" s="21"/>
      <c r="B39" s="16">
        <v>36</v>
      </c>
      <c r="C39" s="17" t="s">
        <v>44</v>
      </c>
      <c r="D39" s="16" t="s">
        <v>20</v>
      </c>
      <c r="E39" s="39">
        <v>8000000</v>
      </c>
      <c r="F39" s="39">
        <v>6000000</v>
      </c>
      <c r="G39" s="40">
        <f>Dinh_muc!J14</f>
        <v>1224960</v>
      </c>
      <c r="H39" s="40">
        <f t="shared" si="2"/>
        <v>2000000</v>
      </c>
      <c r="I39" s="40">
        <f t="shared" si="0"/>
        <v>4775040</v>
      </c>
      <c r="J39" s="40">
        <f>Tham_so!$D$13*Dinh_muc!K14</f>
        <v>463076.92307692306</v>
      </c>
      <c r="K39" s="40">
        <f t="shared" si="1"/>
        <v>4311963.076923077</v>
      </c>
    </row>
    <row r="40" spans="1:11" x14ac:dyDescent="0.35">
      <c r="A40" s="21" t="s">
        <v>67</v>
      </c>
      <c r="B40" s="16">
        <v>37</v>
      </c>
      <c r="C40" s="17" t="s">
        <v>45</v>
      </c>
      <c r="D40" s="16" t="s">
        <v>18</v>
      </c>
      <c r="E40" s="39">
        <v>6000000</v>
      </c>
      <c r="F40" s="39">
        <v>7000000</v>
      </c>
      <c r="G40" s="40">
        <f>Dinh_muc!J15</f>
        <v>3038639.9999999995</v>
      </c>
      <c r="H40" s="40">
        <f t="shared" si="2"/>
        <v>0</v>
      </c>
      <c r="I40" s="40">
        <f t="shared" si="0"/>
        <v>2961360.0000000005</v>
      </c>
      <c r="J40" s="40">
        <v>0</v>
      </c>
      <c r="K40" s="40">
        <f t="shared" si="1"/>
        <v>2961360.0000000005</v>
      </c>
    </row>
    <row r="41" spans="1:11" x14ac:dyDescent="0.35">
      <c r="A41" s="21"/>
      <c r="B41" s="16">
        <v>38</v>
      </c>
      <c r="C41" s="17" t="s">
        <v>45</v>
      </c>
      <c r="D41" s="16" t="s">
        <v>19</v>
      </c>
      <c r="E41" s="39">
        <v>7000000</v>
      </c>
      <c r="F41" s="39">
        <v>7000000</v>
      </c>
      <c r="G41" s="40">
        <f>Dinh_muc!J15</f>
        <v>3038639.9999999995</v>
      </c>
      <c r="H41" s="40">
        <f t="shared" si="2"/>
        <v>0</v>
      </c>
      <c r="I41" s="40">
        <f t="shared" si="0"/>
        <v>3961360.0000000005</v>
      </c>
      <c r="J41" s="40">
        <f>Tham_so!$D$14*Dinh_muc!K15</f>
        <v>1377000</v>
      </c>
      <c r="K41" s="40">
        <f t="shared" si="1"/>
        <v>2584360.0000000005</v>
      </c>
    </row>
    <row r="42" spans="1:11" x14ac:dyDescent="0.35">
      <c r="A42" s="21"/>
      <c r="B42" s="16">
        <v>39</v>
      </c>
      <c r="C42" s="17" t="s">
        <v>45</v>
      </c>
      <c r="D42" s="16" t="s">
        <v>20</v>
      </c>
      <c r="E42" s="39">
        <v>8000000</v>
      </c>
      <c r="F42" s="39">
        <v>7000000</v>
      </c>
      <c r="G42" s="40">
        <f>Dinh_muc!J15</f>
        <v>3038639.9999999995</v>
      </c>
      <c r="H42" s="40">
        <f t="shared" si="2"/>
        <v>1000000</v>
      </c>
      <c r="I42" s="40">
        <f t="shared" si="0"/>
        <v>3961360</v>
      </c>
      <c r="J42" s="40">
        <f>Tham_so!$D$14*Dinh_muc!K15</f>
        <v>1377000</v>
      </c>
      <c r="K42" s="40">
        <f t="shared" si="1"/>
        <v>2584360</v>
      </c>
    </row>
    <row r="43" spans="1:11" x14ac:dyDescent="0.35">
      <c r="A43" s="21" t="s">
        <v>68</v>
      </c>
      <c r="B43" s="16">
        <v>40</v>
      </c>
      <c r="C43" s="17" t="s">
        <v>46</v>
      </c>
      <c r="D43" s="16" t="s">
        <v>18</v>
      </c>
      <c r="E43" s="39">
        <v>6000000</v>
      </c>
      <c r="F43" s="39">
        <v>5000000</v>
      </c>
      <c r="G43" s="40">
        <f>Dinh_muc!J16</f>
        <v>788040</v>
      </c>
      <c r="H43" s="40">
        <f t="shared" si="2"/>
        <v>1000000</v>
      </c>
      <c r="I43" s="40">
        <f t="shared" si="0"/>
        <v>4211960</v>
      </c>
      <c r="J43" s="40">
        <v>0</v>
      </c>
      <c r="K43" s="40">
        <f t="shared" si="1"/>
        <v>4211960</v>
      </c>
    </row>
    <row r="44" spans="1:11" x14ac:dyDescent="0.35">
      <c r="A44" s="21"/>
      <c r="B44" s="16">
        <v>41</v>
      </c>
      <c r="C44" s="17" t="s">
        <v>46</v>
      </c>
      <c r="D44" s="16" t="s">
        <v>19</v>
      </c>
      <c r="E44" s="39">
        <v>7000000</v>
      </c>
      <c r="F44" s="39">
        <v>5000000</v>
      </c>
      <c r="G44" s="40">
        <f>Dinh_muc!J16</f>
        <v>788040</v>
      </c>
      <c r="H44" s="40">
        <f t="shared" si="2"/>
        <v>2000000</v>
      </c>
      <c r="I44" s="40">
        <f t="shared" si="0"/>
        <v>4211960</v>
      </c>
      <c r="J44" s="40">
        <f>Tham_so!$D$13*Dinh_muc!K16</f>
        <v>290769.23076923075</v>
      </c>
      <c r="K44" s="40">
        <f t="shared" si="1"/>
        <v>3921190.769230769</v>
      </c>
    </row>
    <row r="45" spans="1:11" x14ac:dyDescent="0.35">
      <c r="A45" s="21"/>
      <c r="B45" s="16">
        <v>42</v>
      </c>
      <c r="C45" s="17" t="s">
        <v>46</v>
      </c>
      <c r="D45" s="16" t="s">
        <v>20</v>
      </c>
      <c r="E45" s="39">
        <v>8000000</v>
      </c>
      <c r="F45" s="39">
        <v>5000000</v>
      </c>
      <c r="G45" s="40">
        <f>Dinh_muc!J16</f>
        <v>788040</v>
      </c>
      <c r="H45" s="40">
        <f t="shared" si="2"/>
        <v>3000000</v>
      </c>
      <c r="I45" s="40">
        <f t="shared" si="0"/>
        <v>4211960</v>
      </c>
      <c r="J45" s="40">
        <f>Tham_so!$D$13*Dinh_muc!K16</f>
        <v>290769.23076923075</v>
      </c>
      <c r="K45" s="40">
        <f t="shared" si="1"/>
        <v>3921190.769230769</v>
      </c>
    </row>
    <row r="46" spans="1:11" x14ac:dyDescent="0.35">
      <c r="A46" s="21" t="s">
        <v>69</v>
      </c>
      <c r="B46" s="16">
        <v>43</v>
      </c>
      <c r="C46" s="17" t="s">
        <v>47</v>
      </c>
      <c r="D46" s="16" t="s">
        <v>18</v>
      </c>
      <c r="E46" s="39">
        <v>6000000</v>
      </c>
      <c r="F46" s="39">
        <v>6000000</v>
      </c>
      <c r="G46" s="40">
        <f>Dinh_muc!J17</f>
        <v>3082200</v>
      </c>
      <c r="H46" s="40">
        <f t="shared" si="2"/>
        <v>0</v>
      </c>
      <c r="I46" s="40">
        <f t="shared" si="0"/>
        <v>2917800</v>
      </c>
      <c r="J46" s="40">
        <v>0</v>
      </c>
      <c r="K46" s="40">
        <f t="shared" si="1"/>
        <v>2917800</v>
      </c>
    </row>
    <row r="47" spans="1:11" x14ac:dyDescent="0.35">
      <c r="A47" s="21"/>
      <c r="B47" s="16">
        <v>44</v>
      </c>
      <c r="C47" s="17" t="s">
        <v>47</v>
      </c>
      <c r="D47" s="16" t="s">
        <v>19</v>
      </c>
      <c r="E47" s="39">
        <v>7000000</v>
      </c>
      <c r="F47" s="39">
        <v>6000000</v>
      </c>
      <c r="G47" s="40">
        <f>Dinh_muc!J17</f>
        <v>3082200</v>
      </c>
      <c r="H47" s="40">
        <f t="shared" si="2"/>
        <v>1000000</v>
      </c>
      <c r="I47" s="40">
        <f t="shared" si="0"/>
        <v>2917800</v>
      </c>
      <c r="J47" s="40">
        <f>Tham_so!$D$14*Dinh_muc!K17</f>
        <v>1530000</v>
      </c>
      <c r="K47" s="40">
        <f t="shared" si="1"/>
        <v>1387800</v>
      </c>
    </row>
    <row r="48" spans="1:11" x14ac:dyDescent="0.35">
      <c r="A48" s="21"/>
      <c r="B48" s="16">
        <v>45</v>
      </c>
      <c r="C48" s="17" t="s">
        <v>47</v>
      </c>
      <c r="D48" s="16" t="s">
        <v>20</v>
      </c>
      <c r="E48" s="39">
        <v>8000000</v>
      </c>
      <c r="F48" s="39">
        <v>6000000</v>
      </c>
      <c r="G48" s="40">
        <f>Dinh_muc!J17</f>
        <v>3082200</v>
      </c>
      <c r="H48" s="40">
        <f t="shared" si="2"/>
        <v>2000000</v>
      </c>
      <c r="I48" s="40">
        <f t="shared" si="0"/>
        <v>2917800</v>
      </c>
      <c r="J48" s="40">
        <f>Tham_so!$D$14*Dinh_muc!K17</f>
        <v>1530000</v>
      </c>
      <c r="K48" s="40">
        <f t="shared" si="1"/>
        <v>1387800</v>
      </c>
    </row>
    <row r="49" spans="1:11" x14ac:dyDescent="0.35">
      <c r="A49" s="21" t="s">
        <v>70</v>
      </c>
      <c r="B49" s="16">
        <v>46</v>
      </c>
      <c r="C49" s="17" t="s">
        <v>48</v>
      </c>
      <c r="D49" s="16" t="s">
        <v>18</v>
      </c>
      <c r="E49" s="39">
        <v>6000000</v>
      </c>
      <c r="F49" s="39">
        <v>5000000</v>
      </c>
      <c r="G49" s="40">
        <f>Dinh_muc!J18</f>
        <v>1519319.9999999998</v>
      </c>
      <c r="H49" s="40">
        <f t="shared" si="2"/>
        <v>1000000</v>
      </c>
      <c r="I49" s="40">
        <f t="shared" si="0"/>
        <v>3480680</v>
      </c>
      <c r="J49" s="40">
        <v>0</v>
      </c>
      <c r="K49" s="40">
        <f t="shared" si="1"/>
        <v>3480680</v>
      </c>
    </row>
    <row r="50" spans="1:11" x14ac:dyDescent="0.35">
      <c r="A50" s="21"/>
      <c r="B50" s="16">
        <v>47</v>
      </c>
      <c r="C50" s="17" t="s">
        <v>48</v>
      </c>
      <c r="D50" s="16" t="s">
        <v>19</v>
      </c>
      <c r="E50" s="39">
        <v>7000000</v>
      </c>
      <c r="F50" s="39">
        <v>5000000</v>
      </c>
      <c r="G50" s="40">
        <f>Dinh_muc!J18</f>
        <v>1519319.9999999998</v>
      </c>
      <c r="H50" s="40">
        <f t="shared" si="2"/>
        <v>2000000</v>
      </c>
      <c r="I50" s="40">
        <f t="shared" si="0"/>
        <v>3480680</v>
      </c>
      <c r="J50" s="40">
        <f>Tham_so!$D$14*Dinh_muc!K18</f>
        <v>731000</v>
      </c>
      <c r="K50" s="40">
        <f t="shared" si="1"/>
        <v>2749680</v>
      </c>
    </row>
    <row r="51" spans="1:11" x14ac:dyDescent="0.35">
      <c r="A51" s="21"/>
      <c r="B51" s="18">
        <v>48</v>
      </c>
      <c r="C51" s="19" t="s">
        <v>48</v>
      </c>
      <c r="D51" s="18" t="s">
        <v>20</v>
      </c>
      <c r="E51" s="41">
        <v>8000000</v>
      </c>
      <c r="F51" s="41">
        <v>5000000</v>
      </c>
      <c r="G51" s="42">
        <f>Dinh_muc!J18</f>
        <v>1519319.9999999998</v>
      </c>
      <c r="H51" s="42">
        <f t="shared" si="2"/>
        <v>3000000</v>
      </c>
      <c r="I51" s="42">
        <f t="shared" si="0"/>
        <v>3480680</v>
      </c>
      <c r="J51" s="42">
        <f>Tham_so!$D$14*Dinh_muc!K18</f>
        <v>731000</v>
      </c>
      <c r="K51" s="42">
        <f t="shared" si="1"/>
        <v>2749680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Tham_so</vt:lpstr>
      <vt:lpstr>Dinh_muc</vt:lpstr>
      <vt:lpstr>Bo_tach_khoan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Cuong Nguyen</cp:lastModifiedBy>
  <cp:revision>0</cp:revision>
  <dcterms:created xsi:type="dcterms:W3CDTF">2026-06-01T22:10:42Z</dcterms:created>
  <dcterms:modified xsi:type="dcterms:W3CDTF">2026-06-03T03:38:16Z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2026-06-01T22:16:42Z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832365bc-ea8a-40b6-8f47-09dd338c5ad8</vt:lpwstr>
  </property>
  <property fmtid="{D5CDD505-2E9C-101B-9397-08002B2CF9AE}" pid="7" name="MSIP_Label_defa4170-0d19-0005-0004-bc88714345d2_ActionId">
    <vt:lpwstr>04444e46-1438-4072-82ec-33be45500fd7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