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qpf3-my.sharepoint.com/personal/cuongnguyen239_vqpf3_onmicrosoft_com/Documents/KETOAN_TAICHINH/10_CONG BO BAN HANH/"/>
    </mc:Choice>
  </mc:AlternateContent>
  <xr:revisionPtr revIDLastSave="147" documentId="11_0554381B6AA3BE2C21243E921440A9F99C5A00CB" xr6:coauthVersionLast="47" xr6:coauthVersionMax="47" xr10:uidLastSave="{9256D97A-892C-46E5-B4CA-81B8BD4DCC52}"/>
  <bookViews>
    <workbookView xWindow="-110" yWindow="-110" windowWidth="19420" windowHeight="10300" tabRatio="844" activeTab="1" xr2:uid="{00000000-000D-0000-FFFF-FFFF00000000}"/>
  </bookViews>
  <sheets>
    <sheet name="BM-06 Xuất kho NL-Nhật ký xe" sheetId="1" r:id="rId1"/>
    <sheet name="BM-07 Nghiệm thu khóa học" sheetId="2" r:id="rId2"/>
    <sheet name="BM-10 Giá thành khóa học" sheetId="3" r:id="rId3"/>
    <sheet name="BM-11 Xác định giá vốn" sheetId="4" r:id="rId4"/>
    <sheet name="BM-12 CP bất thường-vượt ĐM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5" l="1"/>
  <c r="H18" i="5" s="1"/>
  <c r="H23" i="5" s="1"/>
  <c r="F21" i="4"/>
  <c r="F15" i="4"/>
  <c r="E15" i="4"/>
  <c r="D15" i="4"/>
  <c r="I14" i="4"/>
  <c r="G14" i="4"/>
  <c r="I13" i="4"/>
  <c r="F20" i="4" s="1"/>
  <c r="G13" i="4"/>
  <c r="I12" i="4"/>
  <c r="F19" i="4" s="1"/>
  <c r="G12" i="4"/>
  <c r="G15" i="4" s="1"/>
  <c r="I28" i="3"/>
  <c r="G26" i="3"/>
  <c r="G25" i="3"/>
  <c r="G24" i="3"/>
  <c r="G27" i="3" s="1"/>
  <c r="G21" i="3"/>
  <c r="G20" i="3"/>
  <c r="G19" i="3"/>
  <c r="G18" i="3"/>
  <c r="G22" i="3" s="1"/>
  <c r="G28" i="3" s="1"/>
  <c r="G59" i="2"/>
  <c r="F59" i="2"/>
  <c r="F53" i="2"/>
  <c r="H53" i="2" s="1"/>
  <c r="H59" i="2" s="1"/>
  <c r="C37" i="2"/>
  <c r="K42" i="1"/>
  <c r="J42" i="1"/>
  <c r="G42" i="1"/>
  <c r="I15" i="4" l="1"/>
</calcChain>
</file>

<file path=xl/sharedStrings.xml><?xml version="1.0" encoding="utf-8"?>
<sst xmlns="http://schemas.openxmlformats.org/spreadsheetml/2006/main" count="351" uniqueCount="211">
  <si>
    <t>CÔNG TY CỔ PHẦN ĐẦU TƯ XÂY DỰNG THƯƠNG MẠI CÁT TƯỜNG MINH</t>
  </si>
  <si>
    <t>Trung tâm GDNN &amp; Sát hạch lái xe Bình Thuận</t>
  </si>
  <si>
    <t>BM-06 — PHIẾU XUẤT KHO NHIÊN LIỆU &amp; NHẬT KÝ XE</t>
  </si>
  <si>
    <t>Căn cứ: NQ-HĐQT Điều 5.3 · PL01 Điều 16  |  Người sử dụng: Thủ kho · KT vật tư · Bộ phận PT  |  Tần suất: Từng ca / ngày</t>
  </si>
  <si>
    <t>PHẦN A — PHIẾU XUẤT KHO NHIÊN LIỆU (TK 1521)</t>
  </si>
  <si>
    <t>Số phiếu:</t>
  </si>
  <si>
    <t>……/BM-06A/……</t>
  </si>
  <si>
    <t>Ngày xuất:</t>
  </si>
  <si>
    <t>……/……/……</t>
  </si>
  <si>
    <t>Mã khóa học:</t>
  </si>
  <si>
    <t>Hạng GPLX:</t>
  </si>
  <si>
    <t>⬜ B  ⬜ C1  ⬜ C2  ⬜ C  ⬜ D1  ⬜ D2  ⬜ D</t>
  </si>
  <si>
    <t>Xe biển số:</t>
  </si>
  <si>
    <t>Loại nhiên liệu:</t>
  </si>
  <si>
    <t>⬜ Xăng RON 95  ⬜ Xăng RON 92  ⬜ Dầu Diesel</t>
  </si>
  <si>
    <t>Định mức (lít/giờ):</t>
  </si>
  <si>
    <t>Số giờ ca:</t>
  </si>
  <si>
    <t>Số lít định mức:</t>
  </si>
  <si>
    <t>Số lít thực xuất:</t>
  </si>
  <si>
    <t>Ghi chú:</t>
  </si>
  <si>
    <t>⚠  Xuất vượt định mức phải có BM-12 kèm theo. Phiếu tạm ứng nhiên liệu xe thuê → TK 141, thanh toán với xe ĐTLK theo BM-07.</t>
  </si>
  <si>
    <t>PHẦN B — NHẬT KÝ XE HÀNG THÁNG</t>
  </si>
  <si>
    <t>Ngày</t>
  </si>
  <si>
    <t>Biển số xe</t>
  </si>
  <si>
    <t>Hạng xe</t>
  </si>
  <si>
    <t>Ca (S/C/T)</t>
  </si>
  <si>
    <t>Giờ bắt đầu</t>
  </si>
  <si>
    <t>Giờ kết thúc</t>
  </si>
  <si>
    <t>Số giờ</t>
  </si>
  <si>
    <t>Km đầu</t>
  </si>
  <si>
    <t>Km cuối</t>
  </si>
  <si>
    <t>Số km</t>
  </si>
  <si>
    <t>Nhiên liệu (lít)</t>
  </si>
  <si>
    <t>Ghi chú</t>
  </si>
  <si>
    <t>TỔNG CỘNG</t>
  </si>
  <si>
    <t>NGƯỜI LẬP
(Thủ kho / KT vật tư)</t>
  </si>
  <si>
    <t>BỘ PHẬN PHƯƠNG TIỆN
XÁC NHẬN</t>
  </si>
  <si>
    <t>KẾ TOÁN TRƯỞNG</t>
  </si>
  <si>
    <t>PGĐ TC PHÊ DUYỆT</t>
  </si>
  <si>
    <t>(Ký và ghi rõ họ tên)</t>
  </si>
  <si>
    <t>Ngày: ……/……/……</t>
  </si>
  <si>
    <t>BM-07 — BIÊN BẢN NGHIỆM THU KHÓA HỌC ĐÀO TẠO LÁI XE</t>
  </si>
  <si>
    <t>Căn cứ: NQ-HĐQT Điều 5.3 · TT 14/2025/TT-BXD · NĐ 94/2026/NĐ-CP  |  Người sử dụng: Phòng ĐT · GVLK/VPTS · GĐĐH · KT trưởng  |  Tần suất: Từng khóa học</t>
  </si>
  <si>
    <t>🔒  BM-07 là chứng từ gốc bắt buộc — Thiếu BM-07 có chữ ký GĐĐH: KT KHÔNG ghi nhận DT TK 5113A, KHÔNG quyết toán NL TK 141, KHÔNG thanh toán GVLK/VPTS</t>
  </si>
  <si>
    <t>PHẦN 1 — THÔNG TIN CHUNG</t>
  </si>
  <si>
    <t>Số BM-07:</t>
  </si>
  <si>
    <t>……/BM-07/……</t>
  </si>
  <si>
    <t>Ngày lập:</t>
  </si>
  <si>
    <t>Ngày khai giảng:</t>
  </si>
  <si>
    <t>⬜ B  ⬜ C1  ⬜ C2  ⬜ C  ⬜ D1  ⬜ D2  ⬜ D  ⬜ Nâng hạng: ___ → ___</t>
  </si>
  <si>
    <t>Ngày kết thúc:</t>
  </si>
  <si>
    <t>Nguồn tuyển sinh:</t>
  </si>
  <si>
    <t>⬜ Trực tiếp (TT)  ⬜ VPLK  ⬜ GVLK  ⬜ Pháp nhân (PN)</t>
  </si>
  <si>
    <t>Mã ĐTLK:</t>
  </si>
  <si>
    <t>Người lập:</t>
  </si>
  <si>
    <t>Bộ phận:</t>
  </si>
  <si>
    <t>Phòng Đào tạo</t>
  </si>
  <si>
    <t>PHẦN 2 — DANH SÁCH HỌC VIÊN HOÀN THÀNH CHƯƠNG TRÌNH ĐÀO TẠO</t>
  </si>
  <si>
    <t>Điều kiện hoàn thành (TT 14/2025/TT-BXD): ✅ Đủ số giờ lý thuyết  ✅ Đủ số giờ TH sân tập  ✅ Đủ số km đường trường</t>
  </si>
  <si>
    <t>STT</t>
  </si>
  <si>
    <t>Họ và tên</t>
  </si>
  <si>
    <t>CCCD</t>
  </si>
  <si>
    <t>Giờ LT
Thực tế</t>
  </si>
  <si>
    <t>Giờ LT
Theo QĐ</t>
  </si>
  <si>
    <t>Giờ TH sân
Thực tế</t>
  </si>
  <si>
    <t>Giờ TH sân
Theo QĐ</t>
  </si>
  <si>
    <t>Km đường
Thực tế</t>
  </si>
  <si>
    <t>Km đường
Theo QĐ</t>
  </si>
  <si>
    <t>Kết quả</t>
  </si>
  <si>
    <t>⬜ Đạt  ⬜ Chưa đạt</t>
  </si>
  <si>
    <t>TỔNG</t>
  </si>
  <si>
    <t>PHẦN 3A — PHƯƠNG TIỆN SỞ HỮU (NĐ 94/2026/NĐ-CP)</t>
  </si>
  <si>
    <t>Năm SX</t>
  </si>
  <si>
    <t>Niên hạn
còn lại</t>
  </si>
  <si>
    <t>Kiểm định
còn HL</t>
  </si>
  <si>
    <t>Bảo hiểm
còn HL</t>
  </si>
  <si>
    <t>Số giờ
khóa này</t>
  </si>
  <si>
    <t>Số km
khóa này</t>
  </si>
  <si>
    <t>Tình trạng</t>
  </si>
  <si>
    <t>…… năm</t>
  </si>
  <si>
    <t>⬜ Có  ⬜ Không</t>
  </si>
  <si>
    <t>⬜ Đạt  ⬜ Không</t>
  </si>
  <si>
    <t>PHẦN 3B — PHƯƠNG TIỆN THUÊ ĐỐI TÁC LIÊN KẾT</t>
  </si>
  <si>
    <t>Tên ĐTLK</t>
  </si>
  <si>
    <t>PHẦN 4 — QUYẾT TOÁN GVLK / VPTS</t>
  </si>
  <si>
    <t>Họ và tên
GVLK/VPTS</t>
  </si>
  <si>
    <t>MST / CCCD</t>
  </si>
  <si>
    <t>Hình thức</t>
  </si>
  <si>
    <t>Số giờ /
Số HV</t>
  </si>
  <si>
    <t>Đơn giá
khoán (đ)</t>
  </si>
  <si>
    <t>Tổng trước
thuế (đ)</t>
  </si>
  <si>
    <t>Thuế TNCN
khấu trừ (đ)</t>
  </si>
  <si>
    <t>Thực nhận
(đ)</t>
  </si>
  <si>
    <t>⬜①  ⬜②  ⬜③  ⬜④</t>
  </si>
  <si>
    <t>① GV cơ hữu  ② Cá nhân không ĐKKD (10% TNCN)  ③ Cá nhân KD / HKD / Pháp nhân (xuất HĐ)  ④ Thỉnh giảng</t>
  </si>
  <si>
    <t>PHẦN 5 — XÁC NHẬN CÁC BÊN</t>
  </si>
  <si>
    <t>NGƯỜI LẬP
(Phòng Đào tạo)</t>
  </si>
  <si>
    <t>ĐẠI DIỆN GVLK/VPTS</t>
  </si>
  <si>
    <t>BỘ PHẬN PHƯƠNG TIỆN</t>
  </si>
  <si>
    <t>TRƯỞNG PHÒNG ĐÀO TẠO</t>
  </si>
  <si>
    <t>PHẦN 6 — PHÊ DUYỆT — GIÁM ĐỐC ĐIỀU HÀNH</t>
  </si>
  <si>
    <t>Họ và tên:</t>
  </si>
  <si>
    <t>Kết luận:</t>
  </si>
  <si>
    <t>⬜ Xác nhận đủ điều kiện       ⬜ Chưa đủ — Lý do: ___________________________________</t>
  </si>
  <si>
    <t>Chữ ký:</t>
  </si>
  <si>
    <t>Ngày ký:</t>
  </si>
  <si>
    <t>📌 GĐĐH chỉ ký nghiệm thu chuyên môn đào tạo — KHÔNG phê duyệt chi tài chính (NQ-HĐQT Điều 5.3)  |  Lưu trữ tối thiểu 10 năm.</t>
  </si>
  <si>
    <t>BM-10 — BẢNG TÍNH GIÁ THÀNH KHÓA HỌC</t>
  </si>
  <si>
    <t>Căn cứ: NQ-HĐQT Điều 5.3 · PL01 Điều 32 · Công thức: (CP đầu kỳ + CP PS – CP cuối kỳ) ÷ Số HV hoàn thành  |  Người sử dụng: KT tổng hợp · KT trưởng  |  Tần suất: Từng khóa học</t>
  </si>
  <si>
    <t>⬜ B  ⬜ C1  ⬜ C2  ⬜ C  ⬜ D  ⬜ Nâng hạng</t>
  </si>
  <si>
    <t>Số HV đăng ký:</t>
  </si>
  <si>
    <t>Số HV hoàn thành (n):</t>
  </si>
  <si>
    <t>Số HV dở dang cuối kỳ:</t>
  </si>
  <si>
    <t>Kỳ kế toán:</t>
  </si>
  <si>
    <t>Tháng ……/……</t>
  </si>
  <si>
    <t>CHI TIẾT CHI PHÍ VÀ TÍNH GIÁ THÀNH</t>
  </si>
  <si>
    <t>Khoản mục chi phí</t>
  </si>
  <si>
    <t>TK kế toán</t>
  </si>
  <si>
    <t>Đầu kỳ (đ)</t>
  </si>
  <si>
    <t>Phát sinh kỳ (đ)</t>
  </si>
  <si>
    <t>Cuối kỳ (đ)</t>
  </si>
  <si>
    <t>Tổng kỳ (đ)</t>
  </si>
  <si>
    <t>Số HV</t>
  </si>
  <si>
    <t>Đơn giá GT/HV (đ)</t>
  </si>
  <si>
    <t>A</t>
  </si>
  <si>
    <t>CHI PHÍ TRỰC TIẾP</t>
  </si>
  <si>
    <t>Nhiên liệu</t>
  </si>
  <si>
    <t>1521</t>
  </si>
  <si>
    <t>Giáo viên liên kết (GVLK)</t>
  </si>
  <si>
    <t>6271A</t>
  </si>
  <si>
    <t>Vật phẩm thực hành</t>
  </si>
  <si>
    <t>1522</t>
  </si>
  <si>
    <t>Thuê xe đối tác (ĐTLK)</t>
  </si>
  <si>
    <t>6272</t>
  </si>
  <si>
    <t>Cộng A</t>
  </si>
  <si>
    <t>B</t>
  </si>
  <si>
    <t>CHI PHÍ PHÂN BỔ</t>
  </si>
  <si>
    <t>Lương NV quản lý phân bổ</t>
  </si>
  <si>
    <t>6421</t>
  </si>
  <si>
    <t>Khấu hao TSCĐ phân bổ</t>
  </si>
  <si>
    <t>6274</t>
  </si>
  <si>
    <t>Chi phí chung phân bổ khác</t>
  </si>
  <si>
    <t>6422</t>
  </si>
  <si>
    <t>Cộng B</t>
  </si>
  <si>
    <t>TỔNG CHI PHÍ (A+B)</t>
  </si>
  <si>
    <t>Công thức: Giá thành / HV = (CP đầu kỳ + CP phát sinh kỳ – CP cuối kỳ) ÷ Số HV hoàn thành (BM-07)  |  Kết chuyển: TK 154 → TK 632 theo BM-11</t>
  </si>
  <si>
    <t>KẾ TOÁN TỔNG HỢP
(Người lập)</t>
  </si>
  <si>
    <t>KẾ TOÁN TRƯỞNG
(Soát xét)</t>
  </si>
  <si>
    <t>PGĐ TC
(Phê duyệt)</t>
  </si>
  <si>
    <t>BM-11 — BẢNG XÁC ĐỊNH GIÁ VỐN — KẾT CHUYỂN TK 154 → TK 632</t>
  </si>
  <si>
    <t>Căn cứ: NQ-HĐQT Điều 5.3 · PL01 Điều 33 · PGĐ TC phê duyệt  |  Người sử dụng: KT tổng hợp · KT trưởng · PGĐ TC  |  Tần suất: Hàng tháng</t>
  </si>
  <si>
    <t>CHI TIẾT THEO NHÓM HOẠT ĐỘNG</t>
  </si>
  <si>
    <t>Nhóm hoạt động</t>
  </si>
  <si>
    <t>TK 154
(Chi tiết)</t>
  </si>
  <si>
    <t>Dư đầu kỳ
(đ)</t>
  </si>
  <si>
    <t>CP PS kỳ
(đ)</t>
  </si>
  <si>
    <t>Giá thành
KH (đ)</t>
  </si>
  <si>
    <t>Dư cuối kỳ
(đ)</t>
  </si>
  <si>
    <t>Số HV/
ca SH</t>
  </si>
  <si>
    <t>Giá vốn
kết chuyển (đ)</t>
  </si>
  <si>
    <t>Đào tạo lái xe (ĐT)</t>
  </si>
  <si>
    <t>154A</t>
  </si>
  <si>
    <t>Cho thuê xe ĐT liên kết</t>
  </si>
  <si>
    <t>154B</t>
  </si>
  <si>
    <t>C</t>
  </si>
  <si>
    <t>Cho thuê xe SH liên kết</t>
  </si>
  <si>
    <t>154C</t>
  </si>
  <si>
    <t>BẢNG ĐỊNH KHOẢN KẾT CHUYỂN</t>
  </si>
  <si>
    <t>Định khoản</t>
  </si>
  <si>
    <t>Nợ TK</t>
  </si>
  <si>
    <t>Có TK</t>
  </si>
  <si>
    <t>Số tiền (đ)</t>
  </si>
  <si>
    <t>Kết chuyển giá vốn ĐT</t>
  </si>
  <si>
    <t>632A</t>
  </si>
  <si>
    <t>Kết chuyển giá vốn thuê xe ĐT</t>
  </si>
  <si>
    <t>632B</t>
  </si>
  <si>
    <t>Kết chuyển giá vốn thuê xe SH</t>
  </si>
  <si>
    <t>632C</t>
  </si>
  <si>
    <t>KẾ TOÁN TRƯỞNG
(Soát xét và ký)</t>
  </si>
  <si>
    <t>BM-12 — BÁO CÁO CHI PHÍ BẤT THƯỜNG / VƯỢT ĐỊNH MỨC</t>
  </si>
  <si>
    <t>Căn cứ: NQ-HĐQT Điều 5.2 (Nhóm B*) · PL08 · Bắt buộc khi CP vượt định mức  |  Người sử dụng: Người lập · KT trưởng · PGĐ TC · TGĐ  |  Tần suất: Khi phát sinh</t>
  </si>
  <si>
    <t>🔴  BM-12 là yêu cầu bắt buộc kèm theo mọi khoản chi Nhóm B* (vượt định mức PL08). Phê duyệt theo mức tiền tại Điều 5.2 NQ-HĐQT. Không có BM-12 → KT từ chối hạch toán.</t>
  </si>
  <si>
    <t>Số BM-12:</t>
  </si>
  <si>
    <t>……/BM-12/……</t>
  </si>
  <si>
    <t>Loại chi phí:</t>
  </si>
  <si>
    <t>⬜ Nhiên liệu  ⬜ Nhân công GVLK  ⬜ Thuê xe  ⬜ Khác: ___</t>
  </si>
  <si>
    <t>PHẦN 1 — PHÂN TÍCH VƯỢT ĐỊNH MỨC</t>
  </si>
  <si>
    <t>Khoản mục</t>
  </si>
  <si>
    <t>Đơn vị</t>
  </si>
  <si>
    <t>Định mức
(PL08)</t>
  </si>
  <si>
    <t>Thực tế
phát sinh</t>
  </si>
  <si>
    <t>Chênh lệch
vượt</t>
  </si>
  <si>
    <t>Đơn giá
(đ)</t>
  </si>
  <si>
    <t>Thành tiền
vượt (đ)</t>
  </si>
  <si>
    <t>TỔNG CHI PHÍ VƯỢT ĐỊNH MỨC</t>
  </si>
  <si>
    <t>PHẦN 2 — NGUYÊN NHÂN VÀ GIẢI TRÌNH</t>
  </si>
  <si>
    <t xml:space="preserve">Nguyên nhân phát sinh vượt định mức:
</t>
  </si>
  <si>
    <t>PHẦN 3 — BIỆN PHÁP KHẮC PHỤC</t>
  </si>
  <si>
    <t xml:space="preserve">Biện pháp khắc phục và phòng ngừa:
</t>
  </si>
  <si>
    <t>PHẦN 4 — PHÊ DUYỆT THEO THẨM QUYỀN (Điều 5.2 NQ-HĐQT)</t>
  </si>
  <si>
    <t>Mức phê duyệt: M1(&lt;1tr): KT trưởng+BM-12  |  M2(1-5tr): PGĐ TC+BM-12  |  M3-M6(≥5tr): TGĐ+BM-12  |  Ô phê duyệt tương ứng phải có chữ ký</t>
  </si>
  <si>
    <t>KẾ TOÁN TRƯỞNG (M1 &lt; 1 triệu đồng)</t>
  </si>
  <si>
    <t>Ý kiến:</t>
  </si>
  <si>
    <t>Áp dụng khi tổng vượt định mức &lt; 1.000.000 đồng</t>
  </si>
  <si>
    <t>⬜ Chấp thuận hạch toán       ⬜ Không chấp thuận — Lý do: ___________</t>
  </si>
  <si>
    <t>Ngày:</t>
  </si>
  <si>
    <t>PHÓ GĐ TÀI CHÍNH (M2: 1 – 5 triệu đồng)</t>
  </si>
  <si>
    <t>Áp dụng khi tổng vượt định mức từ 1.000.000 đến dưới 5.000.000 đồng</t>
  </si>
  <si>
    <t>TỔNG GIÁM ĐỐC (M3–M6: từ 5 triệu đồng trở lên)</t>
  </si>
  <si>
    <t>Áp dụng khi tổng vượt định mức từ 5.000.000 đồng trở lên</t>
  </si>
  <si>
    <t>📌 Lưu trữ: BM-12 gốc kèm BM-07 + chứng từ chi → Kế toán trưởng giữ bản chính · Scan lưu hệ thống ngay sau khi có phê duyệt · Tối thiểu 10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</si>
</sst>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1"/>
      <color rgb="FF1F4D78"/>
      <name val="Times New Roman"/>
      <charset val="1"/>
    </font>
    <font>
      <b/>
      <sz val="10"/>
      <color rgb="FF1F4D78"/>
      <name val="Times New Roman"/>
      <charset val="1"/>
    </font>
    <font>
      <b/>
      <sz val="9.5"/>
      <color rgb="FF000000"/>
      <name val="Times New Roman"/>
      <charset val="1"/>
    </font>
    <font>
      <b/>
      <sz val="11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3"/>
      <name val="Times New Roman"/>
      <family val="1"/>
      <charset val="163"/>
    </font>
    <font>
      <i/>
      <sz val="9"/>
      <name val="Times New Roman"/>
      <family val="1"/>
      <charset val="163"/>
    </font>
    <font>
      <sz val="11"/>
      <name val="Calibri"/>
      <family val="2"/>
      <charset val="1"/>
    </font>
    <font>
      <b/>
      <sz val="10.5"/>
      <name val="Times New Roman"/>
      <family val="1"/>
      <charset val="163"/>
    </font>
    <font>
      <b/>
      <sz val="9.5"/>
      <name val="Times New Roman"/>
      <family val="1"/>
      <charset val="163"/>
    </font>
    <font>
      <sz val="9.5"/>
      <name val="Times New Roman"/>
      <family val="1"/>
      <charset val="163"/>
    </font>
    <font>
      <sz val="10"/>
      <name val="Times New Roman"/>
      <family val="1"/>
      <charset val="163"/>
    </font>
    <font>
      <i/>
      <sz val="9.5"/>
      <name val="Times New Roman"/>
      <family val="1"/>
      <charset val="163"/>
    </font>
    <font>
      <b/>
      <sz val="9.5"/>
      <color rgb="FF000000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EBF5FB"/>
      </patternFill>
    </fill>
    <fill>
      <patternFill patternType="solid">
        <fgColor rgb="FFF2F2F2"/>
        <bgColor rgb="FFEBF5FB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/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" fontId="5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/>
    <xf numFmtId="0" fontId="5" fillId="0" borderId="2" xfId="0" applyFont="1" applyFill="1" applyBorder="1" applyAlignment="1">
      <alignment horizontal="centerContinuous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 wrapText="1"/>
    </xf>
    <xf numFmtId="3" fontId="11" fillId="0" borderId="2" xfId="0" applyNumberFormat="1" applyFont="1" applyFill="1" applyBorder="1" applyAlignment="1">
      <alignment horizontal="center" vertical="center" wrapText="1"/>
    </xf>
    <xf numFmtId="3" fontId="10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8F9FA"/>
      <rgbColor rgb="FFFFFF99"/>
      <rgbColor rgb="FF99CCFF"/>
      <rgbColor rgb="FFFF99CC"/>
      <rgbColor rgb="FFCC99FF"/>
      <rgbColor rgb="FFFFD966"/>
      <rgbColor rgb="FF2E74B5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70AD47"/>
      <rgbColor rgb="FF003300"/>
      <rgbColor rgb="FF555555"/>
      <rgbColor rgb="FF993300"/>
      <rgbColor rgb="FF993366"/>
      <rgbColor rgb="FF1F4D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showGridLines="0" zoomScaleNormal="100" workbookViewId="0">
      <selection activeCell="N8" sqref="N8"/>
    </sheetView>
  </sheetViews>
  <sheetFormatPr defaultColWidth="8.6328125" defaultRowHeight="14.5" x14ac:dyDescent="0.35"/>
  <cols>
    <col min="1" max="1" width="9.36328125" customWidth="1"/>
    <col min="2" max="11" width="11.08984375" customWidth="1"/>
    <col min="12" max="12" width="13" customWidth="1"/>
  </cols>
  <sheetData>
    <row r="1" spans="1:12" ht="21.75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8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customHeight="1" x14ac:dyDescent="0.3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75" customHeight="1" x14ac:dyDescent="0.35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21.75" customHeight="1" x14ac:dyDescent="0.35">
      <c r="A6" s="9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19.5" customHeight="1" x14ac:dyDescent="0.35">
      <c r="A7" s="10" t="s">
        <v>5</v>
      </c>
      <c r="B7" s="10"/>
      <c r="C7" s="10"/>
      <c r="D7" s="11" t="s">
        <v>6</v>
      </c>
      <c r="E7" s="11"/>
      <c r="F7" s="11"/>
      <c r="G7" s="11"/>
      <c r="H7" s="11"/>
      <c r="I7" s="11"/>
      <c r="J7" s="11"/>
      <c r="K7" s="11"/>
      <c r="L7" s="11"/>
    </row>
    <row r="8" spans="1:12" ht="19.5" customHeight="1" x14ac:dyDescent="0.35">
      <c r="A8" s="10" t="s">
        <v>7</v>
      </c>
      <c r="B8" s="10"/>
      <c r="C8" s="10"/>
      <c r="D8" s="11" t="s">
        <v>8</v>
      </c>
      <c r="E8" s="11"/>
      <c r="F8" s="11"/>
      <c r="G8" s="11"/>
      <c r="H8" s="11"/>
      <c r="I8" s="11"/>
      <c r="J8" s="11"/>
      <c r="K8" s="11"/>
      <c r="L8" s="11"/>
    </row>
    <row r="9" spans="1:12" ht="19.5" customHeight="1" x14ac:dyDescent="0.35">
      <c r="A9" s="10" t="s">
        <v>9</v>
      </c>
      <c r="B9" s="10"/>
      <c r="C9" s="10"/>
      <c r="D9" s="11"/>
      <c r="E9" s="11"/>
      <c r="F9" s="11"/>
      <c r="G9" s="11"/>
      <c r="H9" s="11"/>
      <c r="I9" s="11"/>
      <c r="J9" s="11"/>
      <c r="K9" s="11"/>
      <c r="L9" s="11"/>
    </row>
    <row r="10" spans="1:12" ht="19.5" customHeight="1" x14ac:dyDescent="0.35">
      <c r="A10" s="10" t="s">
        <v>10</v>
      </c>
      <c r="B10" s="10"/>
      <c r="C10" s="10"/>
      <c r="D10" s="11" t="s">
        <v>11</v>
      </c>
      <c r="E10" s="11"/>
      <c r="F10" s="11"/>
      <c r="G10" s="11"/>
      <c r="H10" s="11"/>
      <c r="I10" s="11"/>
      <c r="J10" s="11"/>
      <c r="K10" s="11"/>
      <c r="L10" s="11"/>
    </row>
    <row r="11" spans="1:12" ht="19.5" customHeight="1" x14ac:dyDescent="0.35">
      <c r="A11" s="10" t="s">
        <v>12</v>
      </c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</row>
    <row r="12" spans="1:12" ht="19.5" customHeight="1" x14ac:dyDescent="0.35">
      <c r="A12" s="10" t="s">
        <v>13</v>
      </c>
      <c r="B12" s="10"/>
      <c r="C12" s="10"/>
      <c r="D12" s="11" t="s">
        <v>14</v>
      </c>
      <c r="E12" s="11"/>
      <c r="F12" s="11"/>
      <c r="G12" s="11"/>
      <c r="H12" s="11"/>
      <c r="I12" s="11"/>
      <c r="J12" s="11"/>
      <c r="K12" s="11"/>
      <c r="L12" s="11"/>
    </row>
    <row r="13" spans="1:12" ht="19.5" customHeight="1" x14ac:dyDescent="0.35">
      <c r="A13" s="10" t="s">
        <v>15</v>
      </c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</row>
    <row r="14" spans="1:12" ht="19.5" customHeight="1" x14ac:dyDescent="0.35">
      <c r="A14" s="10" t="s">
        <v>16</v>
      </c>
      <c r="B14" s="10"/>
      <c r="C14" s="10"/>
      <c r="D14" s="11"/>
      <c r="E14" s="11"/>
      <c r="F14" s="11"/>
      <c r="G14" s="11"/>
      <c r="H14" s="11"/>
      <c r="I14" s="11"/>
      <c r="J14" s="11"/>
      <c r="K14" s="11"/>
      <c r="L14" s="11"/>
    </row>
    <row r="15" spans="1:12" ht="19.5" customHeight="1" x14ac:dyDescent="0.35">
      <c r="A15" s="10" t="s">
        <v>17</v>
      </c>
      <c r="B15" s="10"/>
      <c r="C15" s="10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19.5" customHeight="1" x14ac:dyDescent="0.35">
      <c r="A16" s="10" t="s">
        <v>18</v>
      </c>
      <c r="B16" s="10"/>
      <c r="C16" s="10"/>
      <c r="D16" s="11"/>
      <c r="E16" s="11"/>
      <c r="F16" s="11"/>
      <c r="G16" s="11"/>
      <c r="H16" s="11"/>
      <c r="I16" s="11"/>
      <c r="J16" s="11"/>
      <c r="K16" s="11"/>
      <c r="L16" s="11"/>
    </row>
    <row r="17" spans="1:12" ht="19.5" customHeight="1" x14ac:dyDescent="0.35">
      <c r="A17" s="10" t="s">
        <v>19</v>
      </c>
      <c r="B17" s="10"/>
      <c r="C17" s="10"/>
      <c r="D17" s="11"/>
      <c r="E17" s="11"/>
      <c r="F17" s="11"/>
      <c r="G17" s="11"/>
      <c r="H17" s="11"/>
      <c r="I17" s="11"/>
      <c r="J17" s="11"/>
      <c r="K17" s="11"/>
      <c r="L17" s="11"/>
    </row>
    <row r="18" spans="1:12" ht="18" customHeight="1" x14ac:dyDescent="0.35">
      <c r="A18" s="12" t="s">
        <v>20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21.75" customHeight="1" x14ac:dyDescent="0.35">
      <c r="A20" s="9" t="s">
        <v>21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0" customHeight="1" x14ac:dyDescent="0.35">
      <c r="A21" s="13" t="s">
        <v>22</v>
      </c>
      <c r="B21" s="13" t="s">
        <v>23</v>
      </c>
      <c r="C21" s="13" t="s">
        <v>24</v>
      </c>
      <c r="D21" s="13" t="s">
        <v>25</v>
      </c>
      <c r="E21" s="13" t="s">
        <v>26</v>
      </c>
      <c r="F21" s="13" t="s">
        <v>27</v>
      </c>
      <c r="G21" s="13" t="s">
        <v>28</v>
      </c>
      <c r="H21" s="13" t="s">
        <v>29</v>
      </c>
      <c r="I21" s="13" t="s">
        <v>30</v>
      </c>
      <c r="J21" s="13" t="s">
        <v>31</v>
      </c>
      <c r="K21" s="13" t="s">
        <v>32</v>
      </c>
      <c r="L21" s="13" t="s">
        <v>33</v>
      </c>
    </row>
    <row r="22" spans="1:12" ht="19.5" customHeight="1" x14ac:dyDescent="0.3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ht="19.5" customHeight="1" x14ac:dyDescent="0.3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19.5" customHeight="1" x14ac:dyDescent="0.3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ht="19.5" customHeight="1" x14ac:dyDescent="0.3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19.5" customHeight="1" x14ac:dyDescent="0.3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9.5" customHeight="1" x14ac:dyDescent="0.3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19.5" customHeight="1" x14ac:dyDescent="0.3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19.5" customHeight="1" x14ac:dyDescent="0.3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19.5" customHeight="1" x14ac:dyDescent="0.35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19.5" customHeight="1" x14ac:dyDescent="0.35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ht="19.5" customHeight="1" x14ac:dyDescent="0.35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ht="19.5" customHeight="1" x14ac:dyDescent="0.35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ht="19.5" customHeight="1" x14ac:dyDescent="0.35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ht="19.5" customHeight="1" x14ac:dyDescent="0.35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ht="19.5" customHeight="1" x14ac:dyDescent="0.35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ht="19.5" customHeight="1" x14ac:dyDescent="0.35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ht="19.5" customHeight="1" x14ac:dyDescent="0.35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 ht="19.5" customHeight="1" x14ac:dyDescent="0.35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9.5" customHeight="1" x14ac:dyDescent="0.35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9.5" customHeight="1" x14ac:dyDescent="0.35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ht="21.75" customHeight="1" x14ac:dyDescent="0.35">
      <c r="A42" s="16" t="s">
        <v>34</v>
      </c>
      <c r="B42" s="16"/>
      <c r="C42" s="16"/>
      <c r="D42" s="16"/>
      <c r="E42" s="16"/>
      <c r="F42" s="16"/>
      <c r="G42" s="17">
        <f>SUM(G22:G41)</f>
        <v>0</v>
      </c>
      <c r="H42" s="18"/>
      <c r="I42" s="18"/>
      <c r="J42" s="17">
        <f>SUM(J22:J41)</f>
        <v>0</v>
      </c>
      <c r="K42" s="17">
        <f>SUM(K22:K41)</f>
        <v>0</v>
      </c>
      <c r="L42" s="18"/>
    </row>
    <row r="43" spans="1:12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ht="29" customHeight="1" x14ac:dyDescent="0.35">
      <c r="A44" s="1" t="s">
        <v>35</v>
      </c>
      <c r="B44" s="1"/>
      <c r="C44" s="1"/>
      <c r="D44" s="1" t="s">
        <v>36</v>
      </c>
      <c r="E44" s="1"/>
      <c r="F44" s="1"/>
      <c r="G44" s="1" t="s">
        <v>37</v>
      </c>
      <c r="H44" s="1"/>
      <c r="I44" s="1"/>
      <c r="J44" s="39" t="s">
        <v>38</v>
      </c>
      <c r="K44" s="1"/>
      <c r="L44" s="1"/>
    </row>
    <row r="45" spans="1:12" ht="18" customHeight="1" x14ac:dyDescent="0.35">
      <c r="A45" s="28" t="s">
        <v>39</v>
      </c>
      <c r="B45" s="28"/>
      <c r="C45" s="28"/>
      <c r="D45" s="28" t="s">
        <v>39</v>
      </c>
      <c r="E45" s="28"/>
      <c r="F45" s="28"/>
      <c r="G45" s="28" t="s">
        <v>39</v>
      </c>
      <c r="H45" s="28"/>
      <c r="I45" s="28"/>
      <c r="J45" s="28" t="s">
        <v>39</v>
      </c>
      <c r="K45" s="28"/>
      <c r="L45" s="28"/>
    </row>
    <row r="46" spans="1:12" ht="18" customHeight="1" x14ac:dyDescent="0.35">
      <c r="A46" s="28" t="s">
        <v>40</v>
      </c>
      <c r="B46" s="28"/>
      <c r="C46" s="28"/>
      <c r="D46" s="28" t="s">
        <v>40</v>
      </c>
      <c r="E46" s="28"/>
      <c r="F46" s="28"/>
      <c r="G46" s="28" t="s">
        <v>40</v>
      </c>
      <c r="H46" s="28"/>
      <c r="I46" s="28"/>
      <c r="J46" s="28" t="s">
        <v>40</v>
      </c>
      <c r="K46" s="28"/>
      <c r="L46" s="28"/>
    </row>
    <row r="47" spans="1:12" ht="24" customHeight="1" x14ac:dyDescent="0.3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</sheetData>
  <mergeCells count="46">
    <mergeCell ref="A47:C47"/>
    <mergeCell ref="D47:F47"/>
    <mergeCell ref="G47:I47"/>
    <mergeCell ref="J47:L47"/>
    <mergeCell ref="A45:C45"/>
    <mergeCell ref="D45:F45"/>
    <mergeCell ref="G45:I45"/>
    <mergeCell ref="J45:L45"/>
    <mergeCell ref="A46:C46"/>
    <mergeCell ref="D46:F46"/>
    <mergeCell ref="G46:I46"/>
    <mergeCell ref="J46:L46"/>
    <mergeCell ref="A20:L20"/>
    <mergeCell ref="A42:F42"/>
    <mergeCell ref="A44:C44"/>
    <mergeCell ref="D44:F44"/>
    <mergeCell ref="G44:I44"/>
    <mergeCell ref="J44:L44"/>
    <mergeCell ref="A16:C16"/>
    <mergeCell ref="D16:L16"/>
    <mergeCell ref="A17:C17"/>
    <mergeCell ref="D17:L17"/>
    <mergeCell ref="A18:L18"/>
    <mergeCell ref="A13:C13"/>
    <mergeCell ref="D13:L13"/>
    <mergeCell ref="A14:C14"/>
    <mergeCell ref="D14:L14"/>
    <mergeCell ref="A15:C15"/>
    <mergeCell ref="D15:L15"/>
    <mergeCell ref="A10:C10"/>
    <mergeCell ref="D10:L10"/>
    <mergeCell ref="A11:C11"/>
    <mergeCell ref="D11:L11"/>
    <mergeCell ref="A12:C12"/>
    <mergeCell ref="D12:L12"/>
    <mergeCell ref="A7:C7"/>
    <mergeCell ref="D7:L7"/>
    <mergeCell ref="A8:C8"/>
    <mergeCell ref="D8:L8"/>
    <mergeCell ref="A9:C9"/>
    <mergeCell ref="D9:L9"/>
    <mergeCell ref="A1:L1"/>
    <mergeCell ref="A2:L2"/>
    <mergeCell ref="A3:L3"/>
    <mergeCell ref="A4:L4"/>
    <mergeCell ref="A6:L6"/>
  </mergeCells>
  <pageMargins left="0.70866141732283472" right="0.19685039370078741" top="0.39370078740157483" bottom="0.31496062992125984" header="0.31496062992125984" footer="0.31496062992125984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4"/>
  <sheetViews>
    <sheetView showGridLines="0" tabSelected="1" topLeftCell="A36" zoomScaleNormal="100" workbookViewId="0">
      <selection activeCell="A3" activeCellId="1" sqref="A64:L74 A3:L62"/>
    </sheetView>
  </sheetViews>
  <sheetFormatPr defaultColWidth="8.6328125" defaultRowHeight="14.5" x14ac:dyDescent="0.35"/>
  <cols>
    <col min="1" max="1" width="11.08984375" customWidth="1"/>
    <col min="2" max="2" width="17.7265625" customWidth="1"/>
    <col min="3" max="3" width="22.54296875" customWidth="1"/>
    <col min="4" max="4" width="8.54296875" customWidth="1"/>
    <col min="5" max="6" width="14.453125" customWidth="1"/>
    <col min="7" max="9" width="10.6328125" customWidth="1"/>
    <col min="10" max="10" width="9" customWidth="1"/>
    <col min="11" max="11" width="5.1796875" customWidth="1"/>
    <col min="12" max="12" width="4.54296875" customWidth="1"/>
  </cols>
  <sheetData>
    <row r="1" spans="1:12" ht="21.75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8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customHeight="1" x14ac:dyDescent="0.35">
      <c r="A3" s="6" t="s">
        <v>41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5.75" customHeight="1" x14ac:dyDescent="0.35">
      <c r="A4" s="7" t="s">
        <v>42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18" customHeight="1" x14ac:dyDescent="0.35">
      <c r="A6" s="12" t="s">
        <v>43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ht="21.75" customHeight="1" x14ac:dyDescent="0.35">
      <c r="A7" s="9" t="s">
        <v>44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5">
      <c r="A8" s="10" t="s">
        <v>45</v>
      </c>
      <c r="B8" s="10"/>
      <c r="C8" s="10"/>
      <c r="D8" s="11" t="s">
        <v>46</v>
      </c>
      <c r="E8" s="11"/>
      <c r="F8" s="11"/>
      <c r="G8" s="11"/>
      <c r="H8" s="11"/>
      <c r="I8" s="11"/>
      <c r="J8" s="11"/>
      <c r="K8" s="11"/>
      <c r="L8" s="11"/>
    </row>
    <row r="9" spans="1:12" ht="19.5" customHeight="1" x14ac:dyDescent="0.35">
      <c r="A9" s="10" t="s">
        <v>47</v>
      </c>
      <c r="B9" s="10"/>
      <c r="C9" s="10"/>
      <c r="D9" s="11" t="s">
        <v>8</v>
      </c>
      <c r="E9" s="11"/>
      <c r="F9" s="11"/>
      <c r="G9" s="11"/>
      <c r="H9" s="11"/>
      <c r="I9" s="11"/>
      <c r="J9" s="11"/>
      <c r="K9" s="11"/>
      <c r="L9" s="11"/>
    </row>
    <row r="10" spans="1:12" ht="19.5" customHeight="1" x14ac:dyDescent="0.35">
      <c r="A10" s="10" t="s">
        <v>9</v>
      </c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</row>
    <row r="11" spans="1:12" ht="19.5" customHeight="1" x14ac:dyDescent="0.35">
      <c r="A11" s="10" t="s">
        <v>48</v>
      </c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</row>
    <row r="12" spans="1:12" ht="19.5" customHeight="1" x14ac:dyDescent="0.35">
      <c r="A12" s="10" t="s">
        <v>10</v>
      </c>
      <c r="B12" s="10"/>
      <c r="C12" s="10"/>
      <c r="D12" s="11" t="s">
        <v>49</v>
      </c>
      <c r="E12" s="11"/>
      <c r="F12" s="11"/>
      <c r="G12" s="11"/>
      <c r="H12" s="11"/>
      <c r="I12" s="11"/>
      <c r="J12" s="11"/>
      <c r="K12" s="11"/>
      <c r="L12" s="11"/>
    </row>
    <row r="13" spans="1:12" ht="19.5" customHeight="1" x14ac:dyDescent="0.35">
      <c r="A13" s="10" t="s">
        <v>50</v>
      </c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</row>
    <row r="14" spans="1:12" ht="19.5" customHeight="1" x14ac:dyDescent="0.35">
      <c r="A14" s="10" t="s">
        <v>51</v>
      </c>
      <c r="B14" s="10"/>
      <c r="C14" s="10"/>
      <c r="D14" s="11" t="s">
        <v>52</v>
      </c>
      <c r="E14" s="11"/>
      <c r="F14" s="11"/>
      <c r="G14" s="11"/>
      <c r="H14" s="11"/>
      <c r="I14" s="11"/>
      <c r="J14" s="11"/>
      <c r="K14" s="11"/>
      <c r="L14" s="11"/>
    </row>
    <row r="15" spans="1:12" ht="19.5" customHeight="1" x14ac:dyDescent="0.35">
      <c r="A15" s="10" t="s">
        <v>53</v>
      </c>
      <c r="B15" s="10"/>
      <c r="C15" s="10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19.5" customHeight="1" x14ac:dyDescent="0.35">
      <c r="A16" s="10" t="s">
        <v>54</v>
      </c>
      <c r="B16" s="10"/>
      <c r="C16" s="10"/>
      <c r="D16" s="11"/>
      <c r="E16" s="11"/>
      <c r="F16" s="11"/>
      <c r="G16" s="11"/>
      <c r="H16" s="11"/>
      <c r="I16" s="11"/>
      <c r="J16" s="11"/>
      <c r="K16" s="11"/>
      <c r="L16" s="11"/>
    </row>
    <row r="17" spans="1:12" ht="19.5" customHeight="1" x14ac:dyDescent="0.35">
      <c r="A17" s="10" t="s">
        <v>55</v>
      </c>
      <c r="B17" s="10"/>
      <c r="C17" s="10"/>
      <c r="D17" s="11" t="s">
        <v>56</v>
      </c>
      <c r="E17" s="11"/>
      <c r="F17" s="11"/>
      <c r="G17" s="11"/>
      <c r="H17" s="11"/>
      <c r="I17" s="11"/>
      <c r="J17" s="11"/>
      <c r="K17" s="11"/>
      <c r="L17" s="11"/>
    </row>
    <row r="18" spans="1:12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21.75" customHeight="1" x14ac:dyDescent="0.35">
      <c r="A19" s="9" t="s">
        <v>57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18" customHeight="1" x14ac:dyDescent="0.35">
      <c r="A20" s="12" t="s">
        <v>58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ht="30" customHeight="1" x14ac:dyDescent="0.35">
      <c r="A21" s="13" t="s">
        <v>59</v>
      </c>
      <c r="B21" s="13" t="s">
        <v>60</v>
      </c>
      <c r="C21" s="13" t="s">
        <v>61</v>
      </c>
      <c r="D21" s="13" t="s">
        <v>62</v>
      </c>
      <c r="E21" s="13" t="s">
        <v>63</v>
      </c>
      <c r="F21" s="13" t="s">
        <v>64</v>
      </c>
      <c r="G21" s="13" t="s">
        <v>65</v>
      </c>
      <c r="H21" s="13" t="s">
        <v>66</v>
      </c>
      <c r="I21" s="13" t="s">
        <v>67</v>
      </c>
      <c r="J21" s="19" t="s">
        <v>68</v>
      </c>
      <c r="K21" s="19"/>
      <c r="L21" s="19"/>
    </row>
    <row r="22" spans="1:12" ht="18" customHeight="1" x14ac:dyDescent="0.35">
      <c r="A22" s="20">
        <v>1</v>
      </c>
      <c r="B22" s="21"/>
      <c r="C22" s="20"/>
      <c r="D22" s="20"/>
      <c r="E22" s="20"/>
      <c r="F22" s="20"/>
      <c r="G22" s="20"/>
      <c r="H22" s="20"/>
      <c r="I22" s="20"/>
      <c r="J22" s="22" t="s">
        <v>69</v>
      </c>
      <c r="K22" s="22"/>
      <c r="L22" s="22"/>
    </row>
    <row r="23" spans="1:12" ht="18" customHeight="1" x14ac:dyDescent="0.35">
      <c r="A23" s="20">
        <v>2</v>
      </c>
      <c r="B23" s="21"/>
      <c r="C23" s="20"/>
      <c r="D23" s="20"/>
      <c r="E23" s="20"/>
      <c r="F23" s="20"/>
      <c r="G23" s="20"/>
      <c r="H23" s="20"/>
      <c r="I23" s="20"/>
      <c r="J23" s="22" t="s">
        <v>69</v>
      </c>
      <c r="K23" s="22"/>
      <c r="L23" s="22"/>
    </row>
    <row r="24" spans="1:12" ht="18" customHeight="1" x14ac:dyDescent="0.35">
      <c r="A24" s="20">
        <v>3</v>
      </c>
      <c r="B24" s="21"/>
      <c r="C24" s="20"/>
      <c r="D24" s="20"/>
      <c r="E24" s="20"/>
      <c r="F24" s="20"/>
      <c r="G24" s="20"/>
      <c r="H24" s="20"/>
      <c r="I24" s="20"/>
      <c r="J24" s="22" t="s">
        <v>69</v>
      </c>
      <c r="K24" s="22"/>
      <c r="L24" s="22"/>
    </row>
    <row r="25" spans="1:12" ht="18" customHeight="1" x14ac:dyDescent="0.35">
      <c r="A25" s="20">
        <v>4</v>
      </c>
      <c r="B25" s="21"/>
      <c r="C25" s="20"/>
      <c r="D25" s="20"/>
      <c r="E25" s="20"/>
      <c r="F25" s="20"/>
      <c r="G25" s="20"/>
      <c r="H25" s="20"/>
      <c r="I25" s="20"/>
      <c r="J25" s="22" t="s">
        <v>69</v>
      </c>
      <c r="K25" s="22"/>
      <c r="L25" s="22"/>
    </row>
    <row r="26" spans="1:12" ht="18" customHeight="1" x14ac:dyDescent="0.35">
      <c r="A26" s="20">
        <v>5</v>
      </c>
      <c r="B26" s="21"/>
      <c r="C26" s="20"/>
      <c r="D26" s="20"/>
      <c r="E26" s="20"/>
      <c r="F26" s="20"/>
      <c r="G26" s="20"/>
      <c r="H26" s="20"/>
      <c r="I26" s="20"/>
      <c r="J26" s="22" t="s">
        <v>69</v>
      </c>
      <c r="K26" s="22"/>
      <c r="L26" s="22"/>
    </row>
    <row r="27" spans="1:12" ht="18" customHeight="1" x14ac:dyDescent="0.35">
      <c r="A27" s="20">
        <v>6</v>
      </c>
      <c r="B27" s="21"/>
      <c r="C27" s="20"/>
      <c r="D27" s="20"/>
      <c r="E27" s="20"/>
      <c r="F27" s="20"/>
      <c r="G27" s="20"/>
      <c r="H27" s="20"/>
      <c r="I27" s="20"/>
      <c r="J27" s="22" t="s">
        <v>69</v>
      </c>
      <c r="K27" s="22"/>
      <c r="L27" s="22"/>
    </row>
    <row r="28" spans="1:12" ht="18" customHeight="1" x14ac:dyDescent="0.35">
      <c r="A28" s="20">
        <v>7</v>
      </c>
      <c r="B28" s="21"/>
      <c r="C28" s="20"/>
      <c r="D28" s="20"/>
      <c r="E28" s="20"/>
      <c r="F28" s="20"/>
      <c r="G28" s="20"/>
      <c r="H28" s="20"/>
      <c r="I28" s="20"/>
      <c r="J28" s="22" t="s">
        <v>69</v>
      </c>
      <c r="K28" s="22"/>
      <c r="L28" s="22"/>
    </row>
    <row r="29" spans="1:12" ht="18" customHeight="1" x14ac:dyDescent="0.35">
      <c r="A29" s="20">
        <v>8</v>
      </c>
      <c r="B29" s="21"/>
      <c r="C29" s="20"/>
      <c r="D29" s="20"/>
      <c r="E29" s="20"/>
      <c r="F29" s="20"/>
      <c r="G29" s="20"/>
      <c r="H29" s="20"/>
      <c r="I29" s="20"/>
      <c r="J29" s="22" t="s">
        <v>69</v>
      </c>
      <c r="K29" s="22"/>
      <c r="L29" s="22"/>
    </row>
    <row r="30" spans="1:12" ht="18" customHeight="1" x14ac:dyDescent="0.35">
      <c r="A30" s="20">
        <v>9</v>
      </c>
      <c r="B30" s="21"/>
      <c r="C30" s="20"/>
      <c r="D30" s="20"/>
      <c r="E30" s="20"/>
      <c r="F30" s="20"/>
      <c r="G30" s="20"/>
      <c r="H30" s="20"/>
      <c r="I30" s="20"/>
      <c r="J30" s="22" t="s">
        <v>69</v>
      </c>
      <c r="K30" s="22"/>
      <c r="L30" s="22"/>
    </row>
    <row r="31" spans="1:12" ht="18" customHeight="1" x14ac:dyDescent="0.35">
      <c r="A31" s="20">
        <v>10</v>
      </c>
      <c r="B31" s="21"/>
      <c r="C31" s="20"/>
      <c r="D31" s="20"/>
      <c r="E31" s="20"/>
      <c r="F31" s="20"/>
      <c r="G31" s="20"/>
      <c r="H31" s="20"/>
      <c r="I31" s="20"/>
      <c r="J31" s="22" t="s">
        <v>69</v>
      </c>
      <c r="K31" s="22"/>
      <c r="L31" s="22"/>
    </row>
    <row r="32" spans="1:12" ht="18" customHeight="1" x14ac:dyDescent="0.35">
      <c r="A32" s="20">
        <v>11</v>
      </c>
      <c r="B32" s="21"/>
      <c r="C32" s="20"/>
      <c r="D32" s="20"/>
      <c r="E32" s="20"/>
      <c r="F32" s="20"/>
      <c r="G32" s="20"/>
      <c r="H32" s="20"/>
      <c r="I32" s="20"/>
      <c r="J32" s="22" t="s">
        <v>69</v>
      </c>
      <c r="K32" s="22"/>
      <c r="L32" s="22"/>
    </row>
    <row r="33" spans="1:12" ht="18" customHeight="1" x14ac:dyDescent="0.35">
      <c r="A33" s="20">
        <v>12</v>
      </c>
      <c r="B33" s="21"/>
      <c r="C33" s="20"/>
      <c r="D33" s="20"/>
      <c r="E33" s="20"/>
      <c r="F33" s="20"/>
      <c r="G33" s="20"/>
      <c r="H33" s="20"/>
      <c r="I33" s="20"/>
      <c r="J33" s="22" t="s">
        <v>69</v>
      </c>
      <c r="K33" s="22"/>
      <c r="L33" s="22"/>
    </row>
    <row r="34" spans="1:12" ht="18" customHeight="1" x14ac:dyDescent="0.35">
      <c r="A34" s="20">
        <v>13</v>
      </c>
      <c r="B34" s="21"/>
      <c r="C34" s="20"/>
      <c r="D34" s="20"/>
      <c r="E34" s="20"/>
      <c r="F34" s="20"/>
      <c r="G34" s="20"/>
      <c r="H34" s="20"/>
      <c r="I34" s="20"/>
      <c r="J34" s="22" t="s">
        <v>69</v>
      </c>
      <c r="K34" s="22"/>
      <c r="L34" s="22"/>
    </row>
    <row r="35" spans="1:12" ht="18" customHeight="1" x14ac:dyDescent="0.35">
      <c r="A35" s="20">
        <v>14</v>
      </c>
      <c r="B35" s="21"/>
      <c r="C35" s="20"/>
      <c r="D35" s="20"/>
      <c r="E35" s="20"/>
      <c r="F35" s="20"/>
      <c r="G35" s="20"/>
      <c r="H35" s="20"/>
      <c r="I35" s="20"/>
      <c r="J35" s="22" t="s">
        <v>69</v>
      </c>
      <c r="K35" s="22"/>
      <c r="L35" s="22"/>
    </row>
    <row r="36" spans="1:12" ht="18" customHeight="1" x14ac:dyDescent="0.35">
      <c r="A36" s="20">
        <v>15</v>
      </c>
      <c r="B36" s="21"/>
      <c r="C36" s="20"/>
      <c r="D36" s="20"/>
      <c r="E36" s="20"/>
      <c r="F36" s="20"/>
      <c r="G36" s="20"/>
      <c r="H36" s="20"/>
      <c r="I36" s="20"/>
      <c r="J36" s="22" t="s">
        <v>69</v>
      </c>
      <c r="K36" s="22"/>
      <c r="L36" s="22"/>
    </row>
    <row r="37" spans="1:12" ht="19.5" customHeight="1" x14ac:dyDescent="0.35">
      <c r="A37" s="16" t="s">
        <v>70</v>
      </c>
      <c r="B37" s="16"/>
      <c r="C37" s="16" t="str">
        <f>COUNTIF(J22:J36,"*Đạt*")&amp;" HV hoàn thành"</f>
        <v>15 HV hoàn thành</v>
      </c>
      <c r="D37" s="16"/>
      <c r="E37" s="16"/>
      <c r="F37" s="16"/>
      <c r="G37" s="16"/>
      <c r="H37" s="16"/>
      <c r="I37" s="16"/>
      <c r="J37" s="16"/>
      <c r="K37" s="16"/>
      <c r="L37" s="16"/>
    </row>
    <row r="38" spans="1:12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ht="21.75" customHeight="1" x14ac:dyDescent="0.35">
      <c r="A39" s="9" t="s">
        <v>71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30" customHeight="1" x14ac:dyDescent="0.35">
      <c r="A40" s="13" t="s">
        <v>23</v>
      </c>
      <c r="B40" s="13" t="s">
        <v>24</v>
      </c>
      <c r="C40" s="13" t="s">
        <v>72</v>
      </c>
      <c r="D40" s="13" t="s">
        <v>73</v>
      </c>
      <c r="E40" s="13" t="s">
        <v>74</v>
      </c>
      <c r="F40" s="13" t="s">
        <v>75</v>
      </c>
      <c r="G40" s="13" t="s">
        <v>76</v>
      </c>
      <c r="H40" s="13" t="s">
        <v>77</v>
      </c>
      <c r="I40" s="13" t="s">
        <v>78</v>
      </c>
      <c r="J40" s="13"/>
      <c r="K40" s="13"/>
      <c r="L40" s="13"/>
    </row>
    <row r="41" spans="1:12" ht="18" customHeight="1" x14ac:dyDescent="0.35">
      <c r="A41" s="20"/>
      <c r="B41" s="20"/>
      <c r="C41" s="20"/>
      <c r="D41" s="20" t="s">
        <v>79</v>
      </c>
      <c r="E41" s="20" t="s">
        <v>80</v>
      </c>
      <c r="F41" s="20" t="s">
        <v>80</v>
      </c>
      <c r="G41" s="20"/>
      <c r="H41" s="20"/>
      <c r="I41" s="22" t="s">
        <v>81</v>
      </c>
      <c r="J41" s="22"/>
      <c r="K41" s="22"/>
      <c r="L41" s="22"/>
    </row>
    <row r="42" spans="1:12" ht="18" customHeight="1" x14ac:dyDescent="0.35">
      <c r="A42" s="20"/>
      <c r="B42" s="20"/>
      <c r="C42" s="20"/>
      <c r="D42" s="20" t="s">
        <v>79</v>
      </c>
      <c r="E42" s="20" t="s">
        <v>80</v>
      </c>
      <c r="F42" s="20" t="s">
        <v>80</v>
      </c>
      <c r="G42" s="20"/>
      <c r="H42" s="20"/>
      <c r="I42" s="22" t="s">
        <v>81</v>
      </c>
      <c r="J42" s="22"/>
      <c r="K42" s="22"/>
      <c r="L42" s="22"/>
    </row>
    <row r="43" spans="1:12" ht="18" customHeight="1" x14ac:dyDescent="0.35">
      <c r="A43" s="20"/>
      <c r="B43" s="20"/>
      <c r="C43" s="20"/>
      <c r="D43" s="20" t="s">
        <v>79</v>
      </c>
      <c r="E43" s="20" t="s">
        <v>80</v>
      </c>
      <c r="F43" s="20" t="s">
        <v>80</v>
      </c>
      <c r="G43" s="20"/>
      <c r="H43" s="20"/>
      <c r="I43" s="22" t="s">
        <v>81</v>
      </c>
      <c r="J43" s="22"/>
      <c r="K43" s="22"/>
      <c r="L43" s="22"/>
    </row>
    <row r="44" spans="1:12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ht="21.75" customHeight="1" x14ac:dyDescent="0.35">
      <c r="A45" s="9" t="s">
        <v>82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30" customHeight="1" x14ac:dyDescent="0.35">
      <c r="A46" s="13" t="s">
        <v>23</v>
      </c>
      <c r="B46" s="13" t="s">
        <v>24</v>
      </c>
      <c r="C46" s="13" t="s">
        <v>83</v>
      </c>
      <c r="D46" s="13" t="s">
        <v>73</v>
      </c>
      <c r="E46" s="13" t="s">
        <v>74</v>
      </c>
      <c r="F46" s="13" t="s">
        <v>75</v>
      </c>
      <c r="G46" s="13" t="s">
        <v>76</v>
      </c>
      <c r="H46" s="13" t="s">
        <v>77</v>
      </c>
      <c r="I46" s="13" t="s">
        <v>78</v>
      </c>
      <c r="J46" s="13"/>
      <c r="K46" s="13"/>
      <c r="L46" s="13"/>
    </row>
    <row r="47" spans="1:12" ht="18" customHeight="1" x14ac:dyDescent="0.35">
      <c r="A47" s="20"/>
      <c r="B47" s="20"/>
      <c r="C47" s="20"/>
      <c r="D47" s="20" t="s">
        <v>79</v>
      </c>
      <c r="E47" s="20" t="s">
        <v>80</v>
      </c>
      <c r="F47" s="20" t="s">
        <v>80</v>
      </c>
      <c r="G47" s="20"/>
      <c r="H47" s="20"/>
      <c r="I47" s="22" t="s">
        <v>81</v>
      </c>
      <c r="J47" s="22"/>
      <c r="K47" s="22"/>
      <c r="L47" s="22"/>
    </row>
    <row r="48" spans="1:12" ht="18" customHeight="1" x14ac:dyDescent="0.35">
      <c r="A48" s="20"/>
      <c r="B48" s="20"/>
      <c r="C48" s="20"/>
      <c r="D48" s="20" t="s">
        <v>79</v>
      </c>
      <c r="E48" s="20" t="s">
        <v>80</v>
      </c>
      <c r="F48" s="20" t="s">
        <v>80</v>
      </c>
      <c r="G48" s="20"/>
      <c r="H48" s="20"/>
      <c r="I48" s="22" t="s">
        <v>81</v>
      </c>
      <c r="J48" s="22"/>
      <c r="K48" s="22"/>
      <c r="L48" s="22"/>
    </row>
    <row r="49" spans="1:12" ht="18" customHeight="1" x14ac:dyDescent="0.35">
      <c r="A49" s="20"/>
      <c r="B49" s="20"/>
      <c r="C49" s="20"/>
      <c r="D49" s="20" t="s">
        <v>79</v>
      </c>
      <c r="E49" s="20" t="s">
        <v>80</v>
      </c>
      <c r="F49" s="20" t="s">
        <v>80</v>
      </c>
      <c r="G49" s="20"/>
      <c r="H49" s="20"/>
      <c r="I49" s="22" t="s">
        <v>81</v>
      </c>
      <c r="J49" s="22"/>
      <c r="K49" s="22"/>
      <c r="L49" s="22"/>
    </row>
    <row r="50" spans="1:12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ht="21.75" customHeight="1" x14ac:dyDescent="0.35">
      <c r="A51" s="9" t="s">
        <v>84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30" customHeight="1" x14ac:dyDescent="0.35">
      <c r="A52" s="13" t="s">
        <v>85</v>
      </c>
      <c r="B52" s="13" t="s">
        <v>86</v>
      </c>
      <c r="C52" s="13" t="s">
        <v>87</v>
      </c>
      <c r="D52" s="13" t="s">
        <v>88</v>
      </c>
      <c r="E52" s="13" t="s">
        <v>89</v>
      </c>
      <c r="F52" s="13" t="s">
        <v>90</v>
      </c>
      <c r="G52" s="13" t="s">
        <v>91</v>
      </c>
      <c r="H52" s="13" t="s">
        <v>92</v>
      </c>
      <c r="I52" s="23"/>
      <c r="J52" s="24"/>
      <c r="K52" s="24"/>
      <c r="L52" s="25"/>
    </row>
    <row r="53" spans="1:12" ht="18" customHeight="1" x14ac:dyDescent="0.35">
      <c r="A53" s="21"/>
      <c r="B53" s="20"/>
      <c r="C53" s="20" t="s">
        <v>93</v>
      </c>
      <c r="D53" s="20"/>
      <c r="E53" s="20"/>
      <c r="F53" s="20">
        <f>E53*D53</f>
        <v>0</v>
      </c>
      <c r="G53" s="20"/>
      <c r="H53" s="20">
        <f>F53-G53</f>
        <v>0</v>
      </c>
      <c r="I53" s="22"/>
      <c r="J53" s="22"/>
      <c r="K53" s="22"/>
      <c r="L53" s="22"/>
    </row>
    <row r="54" spans="1:12" ht="18" customHeight="1" x14ac:dyDescent="0.35">
      <c r="A54" s="21"/>
      <c r="B54" s="20"/>
      <c r="C54" s="20" t="s">
        <v>93</v>
      </c>
      <c r="D54" s="20"/>
      <c r="E54" s="20"/>
      <c r="F54" s="20"/>
      <c r="G54" s="20"/>
      <c r="H54" s="20"/>
      <c r="I54" s="22"/>
      <c r="J54" s="22"/>
      <c r="K54" s="22"/>
      <c r="L54" s="22"/>
    </row>
    <row r="55" spans="1:12" ht="18" customHeight="1" x14ac:dyDescent="0.35">
      <c r="A55" s="21"/>
      <c r="B55" s="20"/>
      <c r="C55" s="20" t="s">
        <v>93</v>
      </c>
      <c r="D55" s="20"/>
      <c r="E55" s="20"/>
      <c r="F55" s="20"/>
      <c r="G55" s="20"/>
      <c r="H55" s="20"/>
      <c r="I55" s="22"/>
      <c r="J55" s="22"/>
      <c r="K55" s="22"/>
      <c r="L55" s="22"/>
    </row>
    <row r="56" spans="1:12" ht="18" customHeight="1" x14ac:dyDescent="0.35">
      <c r="A56" s="21"/>
      <c r="B56" s="20"/>
      <c r="C56" s="20" t="s">
        <v>93</v>
      </c>
      <c r="D56" s="20"/>
      <c r="E56" s="20"/>
      <c r="F56" s="20"/>
      <c r="G56" s="20"/>
      <c r="H56" s="20"/>
      <c r="I56" s="22"/>
      <c r="J56" s="22"/>
      <c r="K56" s="22"/>
      <c r="L56" s="22"/>
    </row>
    <row r="57" spans="1:12" ht="18" customHeight="1" x14ac:dyDescent="0.35">
      <c r="A57" s="21"/>
      <c r="B57" s="20"/>
      <c r="C57" s="20" t="s">
        <v>93</v>
      </c>
      <c r="D57" s="20"/>
      <c r="E57" s="20"/>
      <c r="F57" s="20"/>
      <c r="G57" s="20"/>
      <c r="H57" s="20"/>
      <c r="I57" s="22"/>
      <c r="J57" s="22"/>
      <c r="K57" s="22"/>
      <c r="L57" s="22"/>
    </row>
    <row r="58" spans="1:12" ht="18" customHeight="1" x14ac:dyDescent="0.35">
      <c r="A58" s="21"/>
      <c r="B58" s="20"/>
      <c r="C58" s="20" t="s">
        <v>93</v>
      </c>
      <c r="D58" s="20"/>
      <c r="E58" s="20"/>
      <c r="F58" s="20"/>
      <c r="G58" s="20"/>
      <c r="H58" s="20"/>
      <c r="I58" s="22"/>
      <c r="J58" s="22"/>
      <c r="K58" s="22"/>
      <c r="L58" s="22"/>
    </row>
    <row r="59" spans="1:12" ht="19.5" customHeight="1" x14ac:dyDescent="0.35">
      <c r="A59" s="16" t="s">
        <v>34</v>
      </c>
      <c r="B59" s="16"/>
      <c r="C59" s="16"/>
      <c r="D59" s="16"/>
      <c r="E59" s="16"/>
      <c r="F59" s="26">
        <f>SUM(F53:F58)</f>
        <v>0</v>
      </c>
      <c r="G59" s="26">
        <f>SUM(G53:G58)</f>
        <v>0</v>
      </c>
      <c r="H59" s="26">
        <f>SUM(H53:H58)</f>
        <v>0</v>
      </c>
      <c r="I59" s="27"/>
      <c r="J59" s="27"/>
      <c r="K59" s="27"/>
      <c r="L59" s="27"/>
    </row>
    <row r="60" spans="1:12" ht="18" customHeight="1" x14ac:dyDescent="0.35">
      <c r="A60" s="12" t="s">
        <v>94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 ht="21.75" customHeight="1" x14ac:dyDescent="0.35">
      <c r="A62" s="9" t="s">
        <v>95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24" customHeight="1" x14ac:dyDescent="0.35">
      <c r="A63" s="1" t="s">
        <v>96</v>
      </c>
      <c r="B63" s="1"/>
      <c r="C63" s="1"/>
      <c r="D63" s="1" t="s">
        <v>97</v>
      </c>
      <c r="E63" s="1"/>
      <c r="F63" s="1"/>
      <c r="G63" s="1" t="s">
        <v>98</v>
      </c>
      <c r="H63" s="1"/>
      <c r="I63" s="1"/>
      <c r="J63" s="1" t="s">
        <v>99</v>
      </c>
      <c r="K63" s="1"/>
      <c r="L63" s="1"/>
    </row>
    <row r="64" spans="1:12" ht="18" customHeight="1" x14ac:dyDescent="0.35">
      <c r="A64" s="28" t="s">
        <v>39</v>
      </c>
      <c r="B64" s="28"/>
      <c r="C64" s="28"/>
      <c r="D64" s="28" t="s">
        <v>39</v>
      </c>
      <c r="E64" s="28"/>
      <c r="F64" s="28"/>
      <c r="G64" s="28" t="s">
        <v>39</v>
      </c>
      <c r="H64" s="28"/>
      <c r="I64" s="28"/>
      <c r="J64" s="28" t="s">
        <v>39</v>
      </c>
      <c r="K64" s="28"/>
      <c r="L64" s="28"/>
    </row>
    <row r="65" spans="1:12" ht="18" customHeight="1" x14ac:dyDescent="0.35">
      <c r="A65" s="28" t="s">
        <v>40</v>
      </c>
      <c r="B65" s="28"/>
      <c r="C65" s="28"/>
      <c r="D65" s="28" t="s">
        <v>40</v>
      </c>
      <c r="E65" s="28"/>
      <c r="F65" s="28"/>
      <c r="G65" s="28" t="s">
        <v>40</v>
      </c>
      <c r="H65" s="28"/>
      <c r="I65" s="28"/>
      <c r="J65" s="28" t="s">
        <v>40</v>
      </c>
      <c r="K65" s="28"/>
      <c r="L65" s="28"/>
    </row>
    <row r="66" spans="1:12" ht="24" customHeight="1" x14ac:dyDescent="0.3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 spans="1:12" ht="13.5" customHeight="1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hidden="1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ht="21.75" customHeight="1" x14ac:dyDescent="0.35">
      <c r="A69" s="9" t="s">
        <v>100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21.75" customHeight="1" x14ac:dyDescent="0.35">
      <c r="A70" s="29" t="s">
        <v>101</v>
      </c>
      <c r="B70" s="29"/>
      <c r="C70" s="29"/>
      <c r="D70" s="30"/>
      <c r="E70" s="30"/>
      <c r="F70" s="30"/>
      <c r="G70" s="30"/>
      <c r="H70" s="30"/>
      <c r="I70" s="30"/>
      <c r="J70" s="30"/>
      <c r="K70" s="30"/>
      <c r="L70" s="30"/>
    </row>
    <row r="71" spans="1:12" ht="21.75" customHeight="1" x14ac:dyDescent="0.35">
      <c r="A71" s="29" t="s">
        <v>102</v>
      </c>
      <c r="B71" s="29"/>
      <c r="C71" s="29"/>
      <c r="D71" s="30" t="s">
        <v>103</v>
      </c>
      <c r="E71" s="30"/>
      <c r="F71" s="30"/>
      <c r="G71" s="30"/>
      <c r="H71" s="30"/>
      <c r="I71" s="30"/>
      <c r="J71" s="30"/>
      <c r="K71" s="30"/>
      <c r="L71" s="30"/>
    </row>
    <row r="72" spans="1:12" ht="21.75" customHeight="1" x14ac:dyDescent="0.35">
      <c r="A72" s="29" t="s">
        <v>104</v>
      </c>
      <c r="B72" s="29"/>
      <c r="C72" s="29"/>
      <c r="D72" s="30"/>
      <c r="E72" s="30"/>
      <c r="F72" s="30"/>
      <c r="G72" s="30"/>
      <c r="H72" s="30"/>
      <c r="I72" s="30"/>
      <c r="J72" s="30"/>
      <c r="K72" s="30"/>
      <c r="L72" s="30"/>
    </row>
    <row r="73" spans="1:12" ht="21.75" customHeight="1" x14ac:dyDescent="0.35">
      <c r="A73" s="29" t="s">
        <v>105</v>
      </c>
      <c r="B73" s="29"/>
      <c r="C73" s="29"/>
      <c r="D73" s="30" t="s">
        <v>8</v>
      </c>
      <c r="E73" s="30"/>
      <c r="F73" s="30"/>
      <c r="G73" s="30"/>
      <c r="H73" s="30"/>
      <c r="I73" s="30"/>
      <c r="J73" s="30"/>
      <c r="K73" s="30"/>
      <c r="L73" s="30"/>
    </row>
    <row r="74" spans="1:12" ht="18" customHeight="1" x14ac:dyDescent="0.35">
      <c r="A74" s="12" t="s">
        <v>106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</sheetData>
  <mergeCells count="90">
    <mergeCell ref="A73:C73"/>
    <mergeCell ref="D73:L73"/>
    <mergeCell ref="A74:L74"/>
    <mergeCell ref="A70:C70"/>
    <mergeCell ref="D70:L70"/>
    <mergeCell ref="A71:C71"/>
    <mergeCell ref="D71:L71"/>
    <mergeCell ref="A72:C72"/>
    <mergeCell ref="D72:L72"/>
    <mergeCell ref="A66:C66"/>
    <mergeCell ref="D66:F66"/>
    <mergeCell ref="G66:I66"/>
    <mergeCell ref="J66:L66"/>
    <mergeCell ref="A69:L69"/>
    <mergeCell ref="A64:C64"/>
    <mergeCell ref="D64:F64"/>
    <mergeCell ref="G64:I64"/>
    <mergeCell ref="J64:L64"/>
    <mergeCell ref="A65:C65"/>
    <mergeCell ref="D65:F65"/>
    <mergeCell ref="G65:I65"/>
    <mergeCell ref="J65:L65"/>
    <mergeCell ref="A60:L60"/>
    <mergeCell ref="A62:L62"/>
    <mergeCell ref="A63:C63"/>
    <mergeCell ref="D63:F63"/>
    <mergeCell ref="G63:I63"/>
    <mergeCell ref="J63:L63"/>
    <mergeCell ref="I56:L56"/>
    <mergeCell ref="I57:L57"/>
    <mergeCell ref="I58:L58"/>
    <mergeCell ref="A59:E59"/>
    <mergeCell ref="I59:L59"/>
    <mergeCell ref="I49:L49"/>
    <mergeCell ref="A51:L51"/>
    <mergeCell ref="I53:L53"/>
    <mergeCell ref="I54:L54"/>
    <mergeCell ref="I55:L55"/>
    <mergeCell ref="I42:L42"/>
    <mergeCell ref="I43:L43"/>
    <mergeCell ref="A45:L45"/>
    <mergeCell ref="I47:L47"/>
    <mergeCell ref="I48:L48"/>
    <mergeCell ref="J36:L36"/>
    <mergeCell ref="A37:B37"/>
    <mergeCell ref="C37:L37"/>
    <mergeCell ref="A39:L39"/>
    <mergeCell ref="I41:L41"/>
    <mergeCell ref="J31:L31"/>
    <mergeCell ref="J32:L32"/>
    <mergeCell ref="J33:L33"/>
    <mergeCell ref="J34:L34"/>
    <mergeCell ref="J35:L35"/>
    <mergeCell ref="J26:L26"/>
    <mergeCell ref="J27:L27"/>
    <mergeCell ref="J28:L28"/>
    <mergeCell ref="J29:L29"/>
    <mergeCell ref="J30:L30"/>
    <mergeCell ref="A20:L20"/>
    <mergeCell ref="J22:L22"/>
    <mergeCell ref="J23:L23"/>
    <mergeCell ref="J24:L24"/>
    <mergeCell ref="J25:L25"/>
    <mergeCell ref="A16:C16"/>
    <mergeCell ref="D16:L16"/>
    <mergeCell ref="A17:C17"/>
    <mergeCell ref="D17:L17"/>
    <mergeCell ref="A19:L19"/>
    <mergeCell ref="A13:C13"/>
    <mergeCell ref="D13:L13"/>
    <mergeCell ref="A14:C14"/>
    <mergeCell ref="D14:L14"/>
    <mergeCell ref="A15:C15"/>
    <mergeCell ref="D15:L15"/>
    <mergeCell ref="A10:C10"/>
    <mergeCell ref="D10:L10"/>
    <mergeCell ref="A11:C11"/>
    <mergeCell ref="D11:L11"/>
    <mergeCell ref="A12:C12"/>
    <mergeCell ref="D12:L12"/>
    <mergeCell ref="A7:L7"/>
    <mergeCell ref="A8:C8"/>
    <mergeCell ref="D8:L8"/>
    <mergeCell ref="A9:C9"/>
    <mergeCell ref="D9:L9"/>
    <mergeCell ref="A1:L1"/>
    <mergeCell ref="A2:L2"/>
    <mergeCell ref="A3:L3"/>
    <mergeCell ref="A4:L4"/>
    <mergeCell ref="A6:L6"/>
  </mergeCells>
  <pageMargins left="0.55118110236220474" right="0.15748031496062992" top="0.39370078740157483" bottom="0.19685039370078741" header="0.31496062992125984" footer="0.11811023622047245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showGridLines="0" topLeftCell="A12" zoomScaleNormal="100" workbookViewId="0">
      <selection activeCell="D13" sqref="D13:J13"/>
    </sheetView>
  </sheetViews>
  <sheetFormatPr defaultColWidth="8.6328125" defaultRowHeight="14.5" x14ac:dyDescent="0.35"/>
  <cols>
    <col min="1" max="1" width="5" customWidth="1"/>
    <col min="2" max="2" width="22" customWidth="1"/>
    <col min="3" max="6" width="14" customWidth="1"/>
    <col min="7" max="9" width="12" customWidth="1"/>
    <col min="10" max="10" width="13.7265625" customWidth="1"/>
  </cols>
  <sheetData>
    <row r="1" spans="1:10" ht="21.75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8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30" customHeight="1" x14ac:dyDescent="0.35">
      <c r="A3" s="6" t="s">
        <v>107</v>
      </c>
      <c r="B3" s="6"/>
      <c r="C3" s="6"/>
      <c r="D3" s="6"/>
      <c r="E3" s="6"/>
      <c r="F3" s="6"/>
      <c r="G3" s="6"/>
      <c r="H3" s="6"/>
      <c r="I3" s="6"/>
      <c r="J3" s="6"/>
    </row>
    <row r="4" spans="1:10" ht="15.75" customHeight="1" x14ac:dyDescent="0.35">
      <c r="A4" s="7" t="s">
        <v>108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3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9.5" customHeight="1" x14ac:dyDescent="0.35">
      <c r="A6" s="10" t="s">
        <v>9</v>
      </c>
      <c r="B6" s="10"/>
      <c r="C6" s="10"/>
      <c r="D6" s="11"/>
      <c r="E6" s="11"/>
      <c r="F6" s="11"/>
      <c r="G6" s="11"/>
      <c r="H6" s="11"/>
      <c r="I6" s="11"/>
      <c r="J6" s="11"/>
    </row>
    <row r="7" spans="1:10" ht="19.5" customHeight="1" x14ac:dyDescent="0.35">
      <c r="A7" s="10" t="s">
        <v>10</v>
      </c>
      <c r="B7" s="10"/>
      <c r="C7" s="10"/>
      <c r="D7" s="11" t="s">
        <v>109</v>
      </c>
      <c r="E7" s="11"/>
      <c r="F7" s="11"/>
      <c r="G7" s="11"/>
      <c r="H7" s="11"/>
      <c r="I7" s="11"/>
      <c r="J7" s="11"/>
    </row>
    <row r="8" spans="1:10" ht="19.5" customHeight="1" x14ac:dyDescent="0.35">
      <c r="A8" s="10" t="s">
        <v>48</v>
      </c>
      <c r="B8" s="10"/>
      <c r="C8" s="10"/>
      <c r="D8" s="11"/>
      <c r="E8" s="11"/>
      <c r="F8" s="11"/>
      <c r="G8" s="11"/>
      <c r="H8" s="11"/>
      <c r="I8" s="11"/>
      <c r="J8" s="11"/>
    </row>
    <row r="9" spans="1:10" ht="19.5" customHeight="1" x14ac:dyDescent="0.35">
      <c r="A9" s="10" t="s">
        <v>50</v>
      </c>
      <c r="B9" s="10"/>
      <c r="C9" s="10"/>
      <c r="D9" s="11"/>
      <c r="E9" s="11"/>
      <c r="F9" s="11"/>
      <c r="G9" s="11"/>
      <c r="H9" s="11"/>
      <c r="I9" s="11"/>
      <c r="J9" s="11"/>
    </row>
    <row r="10" spans="1:10" ht="19.5" customHeight="1" x14ac:dyDescent="0.35">
      <c r="A10" s="10" t="s">
        <v>110</v>
      </c>
      <c r="B10" s="10"/>
      <c r="C10" s="10"/>
      <c r="D10" s="11"/>
      <c r="E10" s="11"/>
      <c r="F10" s="11"/>
      <c r="G10" s="11"/>
      <c r="H10" s="11"/>
      <c r="I10" s="11"/>
      <c r="J10" s="11"/>
    </row>
    <row r="11" spans="1:10" ht="19.5" customHeight="1" x14ac:dyDescent="0.35">
      <c r="A11" s="10" t="s">
        <v>111</v>
      </c>
      <c r="B11" s="10"/>
      <c r="C11" s="10"/>
      <c r="D11" s="11"/>
      <c r="E11" s="11"/>
      <c r="F11" s="11"/>
      <c r="G11" s="11"/>
      <c r="H11" s="11"/>
      <c r="I11" s="11"/>
      <c r="J11" s="11"/>
    </row>
    <row r="12" spans="1:10" ht="19.5" customHeight="1" x14ac:dyDescent="0.35">
      <c r="A12" s="10" t="s">
        <v>112</v>
      </c>
      <c r="B12" s="10"/>
      <c r="C12" s="10"/>
      <c r="D12" s="11"/>
      <c r="E12" s="11"/>
      <c r="F12" s="11"/>
      <c r="G12" s="11"/>
      <c r="H12" s="11"/>
      <c r="I12" s="11"/>
      <c r="J12" s="11"/>
    </row>
    <row r="13" spans="1:10" ht="19.5" customHeight="1" x14ac:dyDescent="0.35">
      <c r="A13" s="10" t="s">
        <v>113</v>
      </c>
      <c r="B13" s="10"/>
      <c r="C13" s="10"/>
      <c r="D13" s="11" t="s">
        <v>114</v>
      </c>
      <c r="E13" s="11"/>
      <c r="F13" s="11"/>
      <c r="G13" s="11"/>
      <c r="H13" s="11"/>
      <c r="I13" s="11"/>
      <c r="J13" s="11"/>
    </row>
    <row r="14" spans="1:10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21.75" customHeight="1" x14ac:dyDescent="0.35">
      <c r="A15" s="9" t="s">
        <v>115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 ht="30" customHeight="1" x14ac:dyDescent="0.35">
      <c r="A16" s="13" t="s">
        <v>59</v>
      </c>
      <c r="B16" s="13" t="s">
        <v>116</v>
      </c>
      <c r="C16" s="13" t="s">
        <v>117</v>
      </c>
      <c r="D16" s="13" t="s">
        <v>118</v>
      </c>
      <c r="E16" s="13" t="s">
        <v>119</v>
      </c>
      <c r="F16" s="13" t="s">
        <v>120</v>
      </c>
      <c r="G16" s="13" t="s">
        <v>121</v>
      </c>
      <c r="H16" s="13" t="s">
        <v>122</v>
      </c>
      <c r="I16" s="13" t="s">
        <v>123</v>
      </c>
      <c r="J16" s="13" t="s">
        <v>33</v>
      </c>
    </row>
    <row r="17" spans="1:10" ht="19.5" customHeight="1" x14ac:dyDescent="0.35">
      <c r="A17" s="31" t="s">
        <v>124</v>
      </c>
      <c r="B17" s="31" t="s">
        <v>125</v>
      </c>
      <c r="C17" s="32"/>
      <c r="D17" s="32"/>
      <c r="E17" s="32"/>
      <c r="F17" s="32"/>
      <c r="G17" s="32"/>
      <c r="H17" s="32"/>
      <c r="I17" s="32"/>
      <c r="J17" s="32"/>
    </row>
    <row r="18" spans="1:10" ht="19.5" customHeight="1" x14ac:dyDescent="0.35">
      <c r="A18" s="21">
        <v>1</v>
      </c>
      <c r="B18" s="21" t="s">
        <v>126</v>
      </c>
      <c r="C18" s="20" t="s">
        <v>127</v>
      </c>
      <c r="D18" s="33"/>
      <c r="E18" s="33"/>
      <c r="F18" s="33"/>
      <c r="G18" s="33">
        <f>D18+E18-F18</f>
        <v>0</v>
      </c>
      <c r="H18" s="20"/>
      <c r="I18" s="33"/>
      <c r="J18" s="20"/>
    </row>
    <row r="19" spans="1:10" ht="19.5" customHeight="1" x14ac:dyDescent="0.35">
      <c r="A19" s="21">
        <v>2</v>
      </c>
      <c r="B19" s="21" t="s">
        <v>128</v>
      </c>
      <c r="C19" s="20" t="s">
        <v>129</v>
      </c>
      <c r="D19" s="33"/>
      <c r="E19" s="33"/>
      <c r="F19" s="33"/>
      <c r="G19" s="33">
        <f>D19+E19-F19</f>
        <v>0</v>
      </c>
      <c r="H19" s="20"/>
      <c r="I19" s="33"/>
      <c r="J19" s="20"/>
    </row>
    <row r="20" spans="1:10" ht="19.5" customHeight="1" x14ac:dyDescent="0.35">
      <c r="A20" s="21">
        <v>3</v>
      </c>
      <c r="B20" s="21" t="s">
        <v>130</v>
      </c>
      <c r="C20" s="20" t="s">
        <v>131</v>
      </c>
      <c r="D20" s="33"/>
      <c r="E20" s="33"/>
      <c r="F20" s="33"/>
      <c r="G20" s="33">
        <f>D20+E20-F20</f>
        <v>0</v>
      </c>
      <c r="H20" s="20"/>
      <c r="I20" s="33"/>
      <c r="J20" s="20"/>
    </row>
    <row r="21" spans="1:10" ht="19.5" customHeight="1" x14ac:dyDescent="0.35">
      <c r="A21" s="21">
        <v>4</v>
      </c>
      <c r="B21" s="21" t="s">
        <v>132</v>
      </c>
      <c r="C21" s="20" t="s">
        <v>133</v>
      </c>
      <c r="D21" s="33"/>
      <c r="E21" s="33"/>
      <c r="F21" s="33"/>
      <c r="G21" s="33">
        <f>D21+E21-F21</f>
        <v>0</v>
      </c>
      <c r="H21" s="20"/>
      <c r="I21" s="33"/>
      <c r="J21" s="20"/>
    </row>
    <row r="22" spans="1:10" ht="19.5" customHeight="1" x14ac:dyDescent="0.35">
      <c r="A22" s="31"/>
      <c r="B22" s="31" t="s">
        <v>134</v>
      </c>
      <c r="C22" s="32"/>
      <c r="D22" s="32"/>
      <c r="E22" s="32"/>
      <c r="F22" s="32"/>
      <c r="G22" s="34">
        <f>SUM(G17:G21)</f>
        <v>0</v>
      </c>
      <c r="H22" s="32"/>
      <c r="I22" s="32"/>
      <c r="J22" s="32"/>
    </row>
    <row r="23" spans="1:10" ht="19.5" customHeight="1" x14ac:dyDescent="0.35">
      <c r="A23" s="31" t="s">
        <v>135</v>
      </c>
      <c r="B23" s="31" t="s">
        <v>136</v>
      </c>
      <c r="C23" s="32"/>
      <c r="D23" s="32"/>
      <c r="E23" s="32"/>
      <c r="F23" s="32"/>
      <c r="G23" s="32"/>
      <c r="H23" s="32"/>
      <c r="I23" s="32"/>
      <c r="J23" s="32"/>
    </row>
    <row r="24" spans="1:10" ht="19.5" customHeight="1" x14ac:dyDescent="0.35">
      <c r="A24" s="21">
        <v>5</v>
      </c>
      <c r="B24" s="21" t="s">
        <v>137</v>
      </c>
      <c r="C24" s="20" t="s">
        <v>138</v>
      </c>
      <c r="D24" s="33"/>
      <c r="E24" s="33"/>
      <c r="F24" s="33"/>
      <c r="G24" s="33">
        <f>D24+E24-F24</f>
        <v>0</v>
      </c>
      <c r="H24" s="20"/>
      <c r="I24" s="33"/>
      <c r="J24" s="20"/>
    </row>
    <row r="25" spans="1:10" ht="19.5" customHeight="1" x14ac:dyDescent="0.35">
      <c r="A25" s="21">
        <v>6</v>
      </c>
      <c r="B25" s="21" t="s">
        <v>139</v>
      </c>
      <c r="C25" s="20" t="s">
        <v>140</v>
      </c>
      <c r="D25" s="33"/>
      <c r="E25" s="33"/>
      <c r="F25" s="33"/>
      <c r="G25" s="33">
        <f>D25+E25-F25</f>
        <v>0</v>
      </c>
      <c r="H25" s="20"/>
      <c r="I25" s="33"/>
      <c r="J25" s="20"/>
    </row>
    <row r="26" spans="1:10" ht="19.5" customHeight="1" x14ac:dyDescent="0.35">
      <c r="A26" s="21">
        <v>7</v>
      </c>
      <c r="B26" s="21" t="s">
        <v>141</v>
      </c>
      <c r="C26" s="20" t="s">
        <v>142</v>
      </c>
      <c r="D26" s="33"/>
      <c r="E26" s="33"/>
      <c r="F26" s="33"/>
      <c r="G26" s="33">
        <f>D26+E26-F26</f>
        <v>0</v>
      </c>
      <c r="H26" s="20"/>
      <c r="I26" s="33"/>
      <c r="J26" s="20"/>
    </row>
    <row r="27" spans="1:10" ht="19.5" customHeight="1" x14ac:dyDescent="0.35">
      <c r="A27" s="31"/>
      <c r="B27" s="31" t="s">
        <v>143</v>
      </c>
      <c r="C27" s="32"/>
      <c r="D27" s="32"/>
      <c r="E27" s="32"/>
      <c r="F27" s="32"/>
      <c r="G27" s="34">
        <f>SUM(G23:G26)</f>
        <v>0</v>
      </c>
      <c r="H27" s="32"/>
      <c r="I27" s="32"/>
      <c r="J27" s="32"/>
    </row>
    <row r="28" spans="1:10" ht="19.5" customHeight="1" x14ac:dyDescent="0.35">
      <c r="A28" s="31"/>
      <c r="B28" s="31" t="s">
        <v>144</v>
      </c>
      <c r="C28" s="32"/>
      <c r="D28" s="32"/>
      <c r="E28" s="32"/>
      <c r="F28" s="32"/>
      <c r="G28" s="34">
        <f>G22+G27</f>
        <v>0</v>
      </c>
      <c r="H28" s="32"/>
      <c r="I28" s="34">
        <f>IF(C12&gt;0,G28/C12,0)</f>
        <v>0</v>
      </c>
      <c r="J28" s="32"/>
    </row>
    <row r="29" spans="1:10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8" customHeight="1" x14ac:dyDescent="0.35">
      <c r="A30" s="12" t="s">
        <v>145</v>
      </c>
      <c r="B30" s="12"/>
      <c r="C30" s="12"/>
      <c r="D30" s="12"/>
      <c r="E30" s="12"/>
      <c r="F30" s="12"/>
      <c r="G30" s="12"/>
      <c r="H30" s="12"/>
      <c r="I30" s="12"/>
      <c r="J30" s="12"/>
    </row>
    <row r="31" spans="1:10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26" customHeight="1" x14ac:dyDescent="0.35">
      <c r="A32" s="1" t="s">
        <v>146</v>
      </c>
      <c r="B32" s="1"/>
      <c r="C32" s="1" t="s">
        <v>147</v>
      </c>
      <c r="D32" s="1"/>
      <c r="E32" s="1" t="s">
        <v>148</v>
      </c>
      <c r="F32" s="1"/>
      <c r="G32" s="1"/>
      <c r="H32" s="1"/>
      <c r="I32" s="1"/>
      <c r="J32" s="1"/>
    </row>
    <row r="33" spans="1:10" ht="18" customHeight="1" x14ac:dyDescent="0.35">
      <c r="A33" s="28" t="s">
        <v>39</v>
      </c>
      <c r="B33" s="28"/>
      <c r="C33" s="28" t="s">
        <v>39</v>
      </c>
      <c r="D33" s="28"/>
      <c r="E33" s="28" t="s">
        <v>39</v>
      </c>
      <c r="F33" s="28"/>
      <c r="G33" s="28"/>
      <c r="H33" s="28"/>
      <c r="I33" s="28"/>
      <c r="J33" s="28"/>
    </row>
    <row r="34" spans="1:10" ht="18" customHeight="1" x14ac:dyDescent="0.35">
      <c r="A34" s="28" t="s">
        <v>40</v>
      </c>
      <c r="B34" s="28"/>
      <c r="C34" s="28" t="s">
        <v>40</v>
      </c>
      <c r="D34" s="28"/>
      <c r="E34" s="28" t="s">
        <v>40</v>
      </c>
      <c r="F34" s="28"/>
      <c r="G34" s="28"/>
      <c r="H34" s="28"/>
      <c r="I34" s="28"/>
      <c r="J34" s="28"/>
    </row>
    <row r="35" spans="1:10" ht="24" customHeight="1" x14ac:dyDescent="0.35">
      <c r="A35" s="28"/>
      <c r="B35" s="28"/>
      <c r="C35" s="28"/>
      <c r="D35" s="28"/>
      <c r="E35" s="28"/>
      <c r="F35" s="28"/>
      <c r="G35" s="28"/>
      <c r="H35" s="28"/>
      <c r="I35" s="28"/>
      <c r="J35" s="28"/>
    </row>
  </sheetData>
  <mergeCells count="38">
    <mergeCell ref="A35:B35"/>
    <mergeCell ref="C35:D35"/>
    <mergeCell ref="E35:F35"/>
    <mergeCell ref="G35:J35"/>
    <mergeCell ref="A33:B33"/>
    <mergeCell ref="C33:D33"/>
    <mergeCell ref="E33:F33"/>
    <mergeCell ref="G33:J33"/>
    <mergeCell ref="A34:B34"/>
    <mergeCell ref="C34:D34"/>
    <mergeCell ref="E34:F34"/>
    <mergeCell ref="G34:J34"/>
    <mergeCell ref="A13:C13"/>
    <mergeCell ref="D13:J13"/>
    <mergeCell ref="A15:J15"/>
    <mergeCell ref="A30:J30"/>
    <mergeCell ref="A32:B32"/>
    <mergeCell ref="C32:D32"/>
    <mergeCell ref="E32:F32"/>
    <mergeCell ref="G32:J32"/>
    <mergeCell ref="A10:C10"/>
    <mergeCell ref="D10:J10"/>
    <mergeCell ref="A11:C11"/>
    <mergeCell ref="D11:J11"/>
    <mergeCell ref="A12:C12"/>
    <mergeCell ref="D12:J12"/>
    <mergeCell ref="A7:C7"/>
    <mergeCell ref="D7:J7"/>
    <mergeCell ref="A8:C8"/>
    <mergeCell ref="D8:J8"/>
    <mergeCell ref="A9:C9"/>
    <mergeCell ref="D9:J9"/>
    <mergeCell ref="A1:J1"/>
    <mergeCell ref="A2:J2"/>
    <mergeCell ref="A3:J3"/>
    <mergeCell ref="A4:J4"/>
    <mergeCell ref="A6:C6"/>
    <mergeCell ref="D6:J6"/>
  </mergeCells>
  <printOptions horizontalCentered="1"/>
  <pageMargins left="0.51181102362204722" right="0.31496062992125984" top="0.55118110236220474" bottom="0.55118110236220474" header="0.31496062992125984" footer="0.31496062992125984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showGridLines="0" topLeftCell="A11" zoomScaleNormal="100" workbookViewId="0">
      <selection activeCell="A3" activeCellId="1" sqref="A25:J27 A3:J23"/>
    </sheetView>
  </sheetViews>
  <sheetFormatPr defaultColWidth="8.6328125" defaultRowHeight="14.5" x14ac:dyDescent="0.35"/>
  <cols>
    <col min="1" max="1" width="6.81640625" customWidth="1"/>
    <col min="2" max="2" width="23" customWidth="1"/>
    <col min="3" max="3" width="8.26953125" customWidth="1"/>
    <col min="4" max="9" width="13.08984375" customWidth="1"/>
    <col min="10" max="10" width="13.7265625" customWidth="1"/>
  </cols>
  <sheetData>
    <row r="1" spans="1:10" ht="21.75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8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30" customHeight="1" x14ac:dyDescent="0.35">
      <c r="A3" s="6" t="s">
        <v>149</v>
      </c>
      <c r="B3" s="6"/>
      <c r="C3" s="6"/>
      <c r="D3" s="6"/>
      <c r="E3" s="6"/>
      <c r="F3" s="6"/>
      <c r="G3" s="6"/>
      <c r="H3" s="6"/>
      <c r="I3" s="6"/>
      <c r="J3" s="6"/>
    </row>
    <row r="4" spans="1:10" ht="15.75" customHeight="1" x14ac:dyDescent="0.35">
      <c r="A4" s="7" t="s">
        <v>150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3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9.5" customHeight="1" x14ac:dyDescent="0.35">
      <c r="A6" s="10" t="s">
        <v>113</v>
      </c>
      <c r="B6" s="10"/>
      <c r="C6" s="10"/>
      <c r="D6" s="11" t="s">
        <v>114</v>
      </c>
      <c r="E6" s="11"/>
      <c r="F6" s="11"/>
      <c r="G6" s="11"/>
      <c r="H6" s="11"/>
      <c r="I6" s="11"/>
      <c r="J6" s="11"/>
    </row>
    <row r="7" spans="1:10" ht="19.5" customHeight="1" x14ac:dyDescent="0.35">
      <c r="A7" s="10" t="s">
        <v>54</v>
      </c>
      <c r="B7" s="10"/>
      <c r="C7" s="10"/>
      <c r="D7" s="11"/>
      <c r="E7" s="11"/>
      <c r="F7" s="11"/>
      <c r="G7" s="11"/>
      <c r="H7" s="11"/>
      <c r="I7" s="11"/>
      <c r="J7" s="11"/>
    </row>
    <row r="8" spans="1:10" ht="19.5" customHeight="1" x14ac:dyDescent="0.35">
      <c r="A8" s="10" t="s">
        <v>47</v>
      </c>
      <c r="B8" s="10"/>
      <c r="C8" s="10"/>
      <c r="D8" s="11" t="s">
        <v>8</v>
      </c>
      <c r="E8" s="11"/>
      <c r="F8" s="11"/>
      <c r="G8" s="11"/>
      <c r="H8" s="11"/>
      <c r="I8" s="11"/>
      <c r="J8" s="11"/>
    </row>
    <row r="9" spans="1:10" x14ac:dyDescent="0.3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ht="21.75" customHeight="1" x14ac:dyDescent="0.35">
      <c r="A10" s="9" t="s">
        <v>151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 ht="30" customHeight="1" x14ac:dyDescent="0.35">
      <c r="A11" s="13" t="s">
        <v>59</v>
      </c>
      <c r="B11" s="13" t="s">
        <v>152</v>
      </c>
      <c r="C11" s="13" t="s">
        <v>153</v>
      </c>
      <c r="D11" s="13" t="s">
        <v>154</v>
      </c>
      <c r="E11" s="13" t="s">
        <v>155</v>
      </c>
      <c r="F11" s="13" t="s">
        <v>156</v>
      </c>
      <c r="G11" s="13" t="s">
        <v>157</v>
      </c>
      <c r="H11" s="13" t="s">
        <v>158</v>
      </c>
      <c r="I11" s="13" t="s">
        <v>159</v>
      </c>
      <c r="J11" s="13" t="s">
        <v>33</v>
      </c>
    </row>
    <row r="12" spans="1:10" ht="21.75" customHeight="1" x14ac:dyDescent="0.35">
      <c r="A12" s="13" t="s">
        <v>124</v>
      </c>
      <c r="B12" s="21" t="s">
        <v>160</v>
      </c>
      <c r="C12" s="35" t="s">
        <v>161</v>
      </c>
      <c r="D12" s="35"/>
      <c r="E12" s="35"/>
      <c r="F12" s="35"/>
      <c r="G12" s="36">
        <f>D12+E12-F12</f>
        <v>0</v>
      </c>
      <c r="H12" s="35"/>
      <c r="I12" s="36">
        <f>F12</f>
        <v>0</v>
      </c>
      <c r="J12" s="35"/>
    </row>
    <row r="13" spans="1:10" ht="21.75" customHeight="1" x14ac:dyDescent="0.35">
      <c r="A13" s="13" t="s">
        <v>135</v>
      </c>
      <c r="B13" s="21" t="s">
        <v>162</v>
      </c>
      <c r="C13" s="35" t="s">
        <v>163</v>
      </c>
      <c r="D13" s="35"/>
      <c r="E13" s="35"/>
      <c r="F13" s="35"/>
      <c r="G13" s="36">
        <f>D13+E13-F13</f>
        <v>0</v>
      </c>
      <c r="H13" s="35"/>
      <c r="I13" s="36">
        <f>F13</f>
        <v>0</v>
      </c>
      <c r="J13" s="35"/>
    </row>
    <row r="14" spans="1:10" ht="21.75" customHeight="1" x14ac:dyDescent="0.35">
      <c r="A14" s="13" t="s">
        <v>164</v>
      </c>
      <c r="B14" s="21" t="s">
        <v>165</v>
      </c>
      <c r="C14" s="35" t="s">
        <v>166</v>
      </c>
      <c r="D14" s="35"/>
      <c r="E14" s="35"/>
      <c r="F14" s="35"/>
      <c r="G14" s="36">
        <f>D14+E14-F14</f>
        <v>0</v>
      </c>
      <c r="H14" s="35"/>
      <c r="I14" s="36">
        <f>F14</f>
        <v>0</v>
      </c>
      <c r="J14" s="35"/>
    </row>
    <row r="15" spans="1:10" ht="21.75" customHeight="1" x14ac:dyDescent="0.35">
      <c r="A15" s="16" t="s">
        <v>34</v>
      </c>
      <c r="B15" s="16"/>
      <c r="C15" s="16"/>
      <c r="D15" s="26">
        <f>SUM(D12:D14)</f>
        <v>0</v>
      </c>
      <c r="E15" s="26">
        <f>SUM(E12:E14)</f>
        <v>0</v>
      </c>
      <c r="F15" s="26">
        <f>SUM(F12:F14)</f>
        <v>0</v>
      </c>
      <c r="G15" s="26">
        <f>SUM(G12:G14)</f>
        <v>0</v>
      </c>
      <c r="H15" s="18"/>
      <c r="I15" s="26">
        <f>SUM(I12:I14)</f>
        <v>0</v>
      </c>
      <c r="J15" s="18"/>
    </row>
    <row r="16" spans="1:10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21.75" customHeight="1" x14ac:dyDescent="0.35">
      <c r="A17" s="9" t="s">
        <v>167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 ht="30" customHeight="1" x14ac:dyDescent="0.35">
      <c r="A18" s="13" t="s">
        <v>59</v>
      </c>
      <c r="B18" s="23" t="s">
        <v>168</v>
      </c>
      <c r="C18" s="25"/>
      <c r="D18" s="13" t="s">
        <v>169</v>
      </c>
      <c r="E18" s="13" t="s">
        <v>170</v>
      </c>
      <c r="F18" s="13" t="s">
        <v>171</v>
      </c>
      <c r="G18" s="23"/>
      <c r="H18" s="24" t="s">
        <v>33</v>
      </c>
      <c r="I18" s="24"/>
      <c r="J18" s="25"/>
    </row>
    <row r="19" spans="1:10" ht="19.5" customHeight="1" x14ac:dyDescent="0.35">
      <c r="A19" s="20">
        <v>1</v>
      </c>
      <c r="B19" s="11" t="s">
        <v>172</v>
      </c>
      <c r="C19" s="11"/>
      <c r="D19" s="32" t="s">
        <v>173</v>
      </c>
      <c r="E19" s="32" t="s">
        <v>161</v>
      </c>
      <c r="F19" s="33">
        <f>I12</f>
        <v>0</v>
      </c>
      <c r="G19" s="27"/>
      <c r="H19" s="27"/>
      <c r="I19" s="27"/>
      <c r="J19" s="27"/>
    </row>
    <row r="20" spans="1:10" ht="19.5" customHeight="1" x14ac:dyDescent="0.35">
      <c r="A20" s="20">
        <v>2</v>
      </c>
      <c r="B20" s="11" t="s">
        <v>174</v>
      </c>
      <c r="C20" s="11"/>
      <c r="D20" s="32" t="s">
        <v>175</v>
      </c>
      <c r="E20" s="32" t="s">
        <v>163</v>
      </c>
      <c r="F20" s="33">
        <f>I13</f>
        <v>0</v>
      </c>
      <c r="G20" s="27"/>
      <c r="H20" s="27"/>
      <c r="I20" s="27"/>
      <c r="J20" s="27"/>
    </row>
    <row r="21" spans="1:10" ht="19.5" customHeight="1" x14ac:dyDescent="0.35">
      <c r="A21" s="20">
        <v>3</v>
      </c>
      <c r="B21" s="11" t="s">
        <v>176</v>
      </c>
      <c r="C21" s="11"/>
      <c r="D21" s="32" t="s">
        <v>177</v>
      </c>
      <c r="E21" s="32" t="s">
        <v>166</v>
      </c>
      <c r="F21" s="33">
        <f>I14</f>
        <v>0</v>
      </c>
      <c r="G21" s="27"/>
      <c r="H21" s="27"/>
      <c r="I21" s="27"/>
      <c r="J21" s="27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2" customHeight="1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30" customHeight="1" x14ac:dyDescent="0.35">
      <c r="A24" s="1" t="s">
        <v>146</v>
      </c>
      <c r="B24" s="1"/>
      <c r="C24" s="1" t="s">
        <v>178</v>
      </c>
      <c r="D24" s="1"/>
      <c r="E24" s="1" t="s">
        <v>148</v>
      </c>
      <c r="F24" s="1"/>
      <c r="G24" s="1"/>
      <c r="H24" s="1"/>
      <c r="I24" s="1"/>
      <c r="J24" s="1"/>
    </row>
    <row r="25" spans="1:10" ht="18" customHeight="1" x14ac:dyDescent="0.35">
      <c r="A25" s="28" t="s">
        <v>39</v>
      </c>
      <c r="B25" s="28"/>
      <c r="C25" s="28" t="s">
        <v>39</v>
      </c>
      <c r="D25" s="28"/>
      <c r="E25" s="28" t="s">
        <v>39</v>
      </c>
      <c r="F25" s="28"/>
      <c r="G25" s="28" t="s">
        <v>39</v>
      </c>
      <c r="H25" s="28"/>
      <c r="I25" s="28"/>
      <c r="J25" s="28"/>
    </row>
    <row r="26" spans="1:10" ht="18" customHeight="1" x14ac:dyDescent="0.35">
      <c r="A26" s="28" t="s">
        <v>40</v>
      </c>
      <c r="B26" s="28"/>
      <c r="C26" s="28" t="s">
        <v>40</v>
      </c>
      <c r="D26" s="28"/>
      <c r="E26" s="28" t="s">
        <v>40</v>
      </c>
      <c r="F26" s="28"/>
      <c r="G26" s="28" t="s">
        <v>40</v>
      </c>
      <c r="H26" s="28"/>
      <c r="I26" s="28"/>
      <c r="J26" s="28"/>
    </row>
    <row r="27" spans="1:10" ht="24" customHeight="1" x14ac:dyDescent="0.35">
      <c r="A27" s="28"/>
      <c r="B27" s="28"/>
      <c r="C27" s="28"/>
      <c r="D27" s="28"/>
      <c r="E27" s="28"/>
      <c r="F27" s="28"/>
      <c r="G27" s="28"/>
      <c r="H27" s="28"/>
      <c r="I27" s="28"/>
      <c r="J27" s="28"/>
    </row>
  </sheetData>
  <mergeCells count="35">
    <mergeCell ref="A27:B27"/>
    <mergeCell ref="C27:D27"/>
    <mergeCell ref="E27:F27"/>
    <mergeCell ref="G27:J27"/>
    <mergeCell ref="A25:B25"/>
    <mergeCell ref="C25:D25"/>
    <mergeCell ref="E25:F25"/>
    <mergeCell ref="G25:J25"/>
    <mergeCell ref="A26:B26"/>
    <mergeCell ref="C26:D26"/>
    <mergeCell ref="E26:F26"/>
    <mergeCell ref="G26:J26"/>
    <mergeCell ref="B21:C21"/>
    <mergeCell ref="G21:J21"/>
    <mergeCell ref="A24:B24"/>
    <mergeCell ref="C24:D24"/>
    <mergeCell ref="E24:F24"/>
    <mergeCell ref="G24:J24"/>
    <mergeCell ref="A15:C15"/>
    <mergeCell ref="A17:J17"/>
    <mergeCell ref="B19:C19"/>
    <mergeCell ref="G19:J19"/>
    <mergeCell ref="B20:C20"/>
    <mergeCell ref="G20:J20"/>
    <mergeCell ref="A7:C7"/>
    <mergeCell ref="D7:J7"/>
    <mergeCell ref="A8:C8"/>
    <mergeCell ref="D8:J8"/>
    <mergeCell ref="A10:J10"/>
    <mergeCell ref="A1:J1"/>
    <mergeCell ref="A2:J2"/>
    <mergeCell ref="A3:J3"/>
    <mergeCell ref="A4:J4"/>
    <mergeCell ref="A6:C6"/>
    <mergeCell ref="D6:J6"/>
  </mergeCells>
  <printOptions horizontalCentered="1"/>
  <pageMargins left="0.55118110236220474" right="0.35433070866141736" top="0.39370078740157483" bottom="0.19685039370078741" header="0.31496062992125984" footer="0.11811023622047245"/>
  <pageSetup paperSize="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6"/>
  <sheetViews>
    <sheetView showGridLines="0" topLeftCell="A35" zoomScaleNormal="100" workbookViewId="0">
      <selection activeCell="D69" sqref="D69"/>
    </sheetView>
  </sheetViews>
  <sheetFormatPr defaultColWidth="8.6328125" defaultRowHeight="14.5" x14ac:dyDescent="0.35"/>
  <cols>
    <col min="1" max="1" width="5" customWidth="1"/>
    <col min="2" max="2" width="22" customWidth="1"/>
    <col min="3" max="3" width="12" customWidth="1"/>
    <col min="4" max="10" width="13.1796875" customWidth="1"/>
  </cols>
  <sheetData>
    <row r="1" spans="1:10" ht="21.7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30" customHeight="1" x14ac:dyDescent="0.35">
      <c r="A3" s="6" t="s">
        <v>179</v>
      </c>
      <c r="B3" s="6"/>
      <c r="C3" s="6"/>
      <c r="D3" s="6"/>
      <c r="E3" s="6"/>
      <c r="F3" s="6"/>
      <c r="G3" s="6"/>
      <c r="H3" s="6"/>
      <c r="I3" s="6"/>
      <c r="J3" s="6"/>
    </row>
    <row r="4" spans="1:10" ht="15.75" customHeight="1" x14ac:dyDescent="0.35">
      <c r="A4" s="7" t="s">
        <v>180</v>
      </c>
      <c r="B4" s="7"/>
      <c r="C4" s="7"/>
      <c r="D4" s="7"/>
      <c r="E4" s="7"/>
      <c r="F4" s="7"/>
      <c r="G4" s="7"/>
      <c r="H4" s="7"/>
      <c r="I4" s="7"/>
      <c r="J4" s="7"/>
    </row>
    <row r="5" spans="1:10" ht="3.5" customHeight="1" x14ac:dyDescent="0.3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9" customHeight="1" x14ac:dyDescent="0.35">
      <c r="A6" s="12" t="s">
        <v>181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19.5" customHeight="1" x14ac:dyDescent="0.35">
      <c r="A7" s="10" t="s">
        <v>182</v>
      </c>
      <c r="B7" s="10"/>
      <c r="C7" s="10"/>
      <c r="D7" s="11" t="s">
        <v>183</v>
      </c>
      <c r="E7" s="11"/>
      <c r="F7" s="11"/>
      <c r="G7" s="11"/>
      <c r="H7" s="11"/>
      <c r="I7" s="11"/>
      <c r="J7" s="11"/>
    </row>
    <row r="8" spans="1:10" ht="19.5" customHeight="1" x14ac:dyDescent="0.35">
      <c r="A8" s="10" t="s">
        <v>47</v>
      </c>
      <c r="B8" s="10"/>
      <c r="C8" s="10"/>
      <c r="D8" s="11" t="s">
        <v>8</v>
      </c>
      <c r="E8" s="11"/>
      <c r="F8" s="11"/>
      <c r="G8" s="11"/>
      <c r="H8" s="11"/>
      <c r="I8" s="11"/>
      <c r="J8" s="11"/>
    </row>
    <row r="9" spans="1:10" ht="19.5" customHeight="1" x14ac:dyDescent="0.35">
      <c r="A9" s="10" t="s">
        <v>54</v>
      </c>
      <c r="B9" s="10"/>
      <c r="C9" s="10"/>
      <c r="D9" s="11"/>
      <c r="E9" s="11"/>
      <c r="F9" s="11"/>
      <c r="G9" s="11"/>
      <c r="H9" s="11"/>
      <c r="I9" s="11"/>
      <c r="J9" s="11"/>
    </row>
    <row r="10" spans="1:10" ht="19.5" customHeight="1" x14ac:dyDescent="0.35">
      <c r="A10" s="10" t="s">
        <v>55</v>
      </c>
      <c r="B10" s="10"/>
      <c r="C10" s="10"/>
      <c r="D10" s="11"/>
      <c r="E10" s="11"/>
      <c r="F10" s="11"/>
      <c r="G10" s="11"/>
      <c r="H10" s="11"/>
      <c r="I10" s="11"/>
      <c r="J10" s="11"/>
    </row>
    <row r="11" spans="1:10" ht="19.5" customHeight="1" x14ac:dyDescent="0.35">
      <c r="A11" s="10" t="s">
        <v>9</v>
      </c>
      <c r="B11" s="10"/>
      <c r="C11" s="10"/>
      <c r="D11" s="11"/>
      <c r="E11" s="11"/>
      <c r="F11" s="11"/>
      <c r="G11" s="11"/>
      <c r="H11" s="11"/>
      <c r="I11" s="11"/>
      <c r="J11" s="11"/>
    </row>
    <row r="12" spans="1:10" ht="19.5" customHeight="1" x14ac:dyDescent="0.35">
      <c r="A12" s="10" t="s">
        <v>10</v>
      </c>
      <c r="B12" s="10"/>
      <c r="C12" s="10"/>
      <c r="D12" s="11"/>
      <c r="E12" s="11"/>
      <c r="F12" s="11"/>
      <c r="G12" s="11"/>
      <c r="H12" s="11"/>
      <c r="I12" s="11"/>
      <c r="J12" s="11"/>
    </row>
    <row r="13" spans="1:10" ht="19.5" customHeight="1" x14ac:dyDescent="0.35">
      <c r="A13" s="10" t="s">
        <v>184</v>
      </c>
      <c r="B13" s="10"/>
      <c r="C13" s="10"/>
      <c r="D13" s="11" t="s">
        <v>185</v>
      </c>
      <c r="E13" s="11"/>
      <c r="F13" s="11"/>
      <c r="G13" s="11"/>
      <c r="H13" s="11"/>
      <c r="I13" s="11"/>
      <c r="J13" s="11"/>
    </row>
    <row r="14" spans="1:10" ht="19.5" customHeight="1" x14ac:dyDescent="0.35">
      <c r="A14" s="10" t="s">
        <v>113</v>
      </c>
      <c r="B14" s="10"/>
      <c r="C14" s="10"/>
      <c r="D14" s="11" t="s">
        <v>114</v>
      </c>
      <c r="E14" s="11"/>
      <c r="F14" s="11"/>
      <c r="G14" s="11"/>
      <c r="H14" s="11"/>
      <c r="I14" s="11"/>
      <c r="J14" s="11"/>
    </row>
    <row r="15" spans="1:10" ht="5" customHeight="1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ht="21.75" customHeight="1" x14ac:dyDescent="0.35">
      <c r="A16" s="9" t="s">
        <v>186</v>
      </c>
      <c r="B16" s="9"/>
      <c r="C16" s="9"/>
      <c r="D16" s="9"/>
      <c r="E16" s="9"/>
      <c r="F16" s="9"/>
      <c r="G16" s="9"/>
      <c r="H16" s="9"/>
      <c r="I16" s="9"/>
      <c r="J16" s="9"/>
    </row>
    <row r="17" spans="1:10" ht="30" customHeight="1" x14ac:dyDescent="0.35">
      <c r="A17" s="13" t="s">
        <v>59</v>
      </c>
      <c r="B17" s="13" t="s">
        <v>187</v>
      </c>
      <c r="C17" s="13" t="s">
        <v>188</v>
      </c>
      <c r="D17" s="13" t="s">
        <v>189</v>
      </c>
      <c r="E17" s="13" t="s">
        <v>190</v>
      </c>
      <c r="F17" s="13" t="s">
        <v>191</v>
      </c>
      <c r="G17" s="13" t="s">
        <v>192</v>
      </c>
      <c r="H17" s="13" t="s">
        <v>193</v>
      </c>
      <c r="I17" s="13" t="s">
        <v>117</v>
      </c>
      <c r="J17" s="13" t="s">
        <v>33</v>
      </c>
    </row>
    <row r="18" spans="1:10" ht="19.5" customHeight="1" x14ac:dyDescent="0.35">
      <c r="A18" s="20">
        <v>1</v>
      </c>
      <c r="B18" s="21"/>
      <c r="C18" s="20"/>
      <c r="D18" s="20"/>
      <c r="E18" s="20"/>
      <c r="F18" s="20">
        <f>E18-D18</f>
        <v>0</v>
      </c>
      <c r="G18" s="20"/>
      <c r="H18" s="33">
        <f>F18*G18</f>
        <v>0</v>
      </c>
      <c r="I18" s="20"/>
      <c r="J18" s="20"/>
    </row>
    <row r="19" spans="1:10" ht="19.5" customHeight="1" x14ac:dyDescent="0.35">
      <c r="A19" s="20">
        <v>2</v>
      </c>
      <c r="B19" s="21"/>
      <c r="C19" s="20"/>
      <c r="D19" s="20"/>
      <c r="E19" s="20"/>
      <c r="F19" s="20"/>
      <c r="G19" s="20"/>
      <c r="H19" s="33"/>
      <c r="I19" s="20"/>
      <c r="J19" s="20"/>
    </row>
    <row r="20" spans="1:10" ht="19.5" customHeight="1" x14ac:dyDescent="0.35">
      <c r="A20" s="20">
        <v>3</v>
      </c>
      <c r="B20" s="21"/>
      <c r="C20" s="20"/>
      <c r="D20" s="20"/>
      <c r="E20" s="20"/>
      <c r="F20" s="20"/>
      <c r="G20" s="20"/>
      <c r="H20" s="33"/>
      <c r="I20" s="20"/>
      <c r="J20" s="20"/>
    </row>
    <row r="21" spans="1:10" ht="19.5" customHeight="1" x14ac:dyDescent="0.35">
      <c r="A21" s="20">
        <v>4</v>
      </c>
      <c r="B21" s="21"/>
      <c r="C21" s="20"/>
      <c r="D21" s="20"/>
      <c r="E21" s="20"/>
      <c r="F21" s="20"/>
      <c r="G21" s="20"/>
      <c r="H21" s="33"/>
      <c r="I21" s="20"/>
      <c r="J21" s="20"/>
    </row>
    <row r="22" spans="1:10" ht="19.5" customHeight="1" x14ac:dyDescent="0.35">
      <c r="A22" s="20">
        <v>5</v>
      </c>
      <c r="B22" s="21"/>
      <c r="C22" s="20"/>
      <c r="D22" s="20"/>
      <c r="E22" s="20"/>
      <c r="F22" s="20"/>
      <c r="G22" s="20"/>
      <c r="H22" s="33"/>
      <c r="I22" s="20"/>
      <c r="J22" s="20"/>
    </row>
    <row r="23" spans="1:10" ht="19.5" customHeight="1" x14ac:dyDescent="0.35">
      <c r="A23" s="16" t="s">
        <v>194</v>
      </c>
      <c r="B23" s="16"/>
      <c r="C23" s="16"/>
      <c r="D23" s="16"/>
      <c r="E23" s="16"/>
      <c r="F23" s="16"/>
      <c r="G23" s="16"/>
      <c r="H23" s="26">
        <f>SUM(H18:H22)</f>
        <v>0</v>
      </c>
      <c r="I23" s="18"/>
      <c r="J23" s="18"/>
    </row>
    <row r="24" spans="1:10" ht="7.5" customHeight="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21.75" customHeight="1" x14ac:dyDescent="0.35">
      <c r="A25" s="9" t="s">
        <v>195</v>
      </c>
      <c r="B25" s="9"/>
      <c r="C25" s="9"/>
      <c r="D25" s="9"/>
      <c r="E25" s="9"/>
      <c r="F25" s="9"/>
      <c r="G25" s="9"/>
      <c r="H25" s="9"/>
      <c r="I25" s="9"/>
      <c r="J25" s="9"/>
    </row>
    <row r="26" spans="1:10" ht="18" customHeight="1" x14ac:dyDescent="0.35">
      <c r="A26" s="37" t="s">
        <v>196</v>
      </c>
      <c r="B26" s="37"/>
      <c r="C26" s="37"/>
      <c r="D26" s="37"/>
      <c r="E26" s="37"/>
      <c r="F26" s="37"/>
      <c r="G26" s="37"/>
      <c r="H26" s="37"/>
      <c r="I26" s="37"/>
      <c r="J26" s="37"/>
    </row>
    <row r="27" spans="1:10" ht="18" customHeight="1" x14ac:dyDescent="0.35">
      <c r="A27" s="37"/>
      <c r="B27" s="37"/>
      <c r="C27" s="37"/>
      <c r="D27" s="37"/>
      <c r="E27" s="37"/>
      <c r="F27" s="37"/>
      <c r="G27" s="37"/>
      <c r="H27" s="37"/>
      <c r="I27" s="37"/>
      <c r="J27" s="37"/>
    </row>
    <row r="28" spans="1:10" ht="18" customHeight="1" x14ac:dyDescent="0.35">
      <c r="A28" s="37"/>
      <c r="B28" s="37"/>
      <c r="C28" s="37"/>
      <c r="D28" s="37"/>
      <c r="E28" s="37"/>
      <c r="F28" s="37"/>
      <c r="G28" s="37"/>
      <c r="H28" s="37"/>
      <c r="I28" s="37"/>
      <c r="J28" s="37"/>
    </row>
    <row r="29" spans="1:10" ht="18" customHeight="1" x14ac:dyDescent="0.35">
      <c r="A29" s="37"/>
      <c r="B29" s="37"/>
      <c r="C29" s="37"/>
      <c r="D29" s="37"/>
      <c r="E29" s="37"/>
      <c r="F29" s="37"/>
      <c r="G29" s="37"/>
      <c r="H29" s="37"/>
      <c r="I29" s="37"/>
      <c r="J29" s="37"/>
    </row>
    <row r="30" spans="1:10" ht="21.75" customHeight="1" x14ac:dyDescent="0.35">
      <c r="A30" s="9" t="s">
        <v>197</v>
      </c>
      <c r="B30" s="9"/>
      <c r="C30" s="9"/>
      <c r="D30" s="9"/>
      <c r="E30" s="9"/>
      <c r="F30" s="9"/>
      <c r="G30" s="9"/>
      <c r="H30" s="9"/>
      <c r="I30" s="9"/>
      <c r="J30" s="9"/>
    </row>
    <row r="31" spans="1:10" ht="18" customHeight="1" x14ac:dyDescent="0.35">
      <c r="A31" s="37" t="s">
        <v>198</v>
      </c>
      <c r="B31" s="37"/>
      <c r="C31" s="37"/>
      <c r="D31" s="37"/>
      <c r="E31" s="37"/>
      <c r="F31" s="37"/>
      <c r="G31" s="37"/>
      <c r="H31" s="37"/>
      <c r="I31" s="37"/>
      <c r="J31" s="37"/>
    </row>
    <row r="32" spans="1:10" ht="18" customHeight="1" x14ac:dyDescent="0.35">
      <c r="A32" s="37"/>
      <c r="B32" s="37"/>
      <c r="C32" s="37"/>
      <c r="D32" s="37"/>
      <c r="E32" s="37"/>
      <c r="F32" s="37"/>
      <c r="G32" s="37"/>
      <c r="H32" s="37"/>
      <c r="I32" s="37"/>
      <c r="J32" s="37"/>
    </row>
    <row r="33" spans="1:10" ht="18" customHeight="1" x14ac:dyDescent="0.35">
      <c r="A33" s="37"/>
      <c r="B33" s="37"/>
      <c r="C33" s="37"/>
      <c r="D33" s="37"/>
      <c r="E33" s="37"/>
      <c r="F33" s="37"/>
      <c r="G33" s="37"/>
      <c r="H33" s="37"/>
      <c r="I33" s="37"/>
      <c r="J33" s="37"/>
    </row>
    <row r="34" spans="1:10" ht="18" customHeight="1" x14ac:dyDescent="0.35">
      <c r="A34" s="37"/>
      <c r="B34" s="37"/>
      <c r="C34" s="37"/>
      <c r="D34" s="37"/>
      <c r="E34" s="37"/>
      <c r="F34" s="37"/>
      <c r="G34" s="37"/>
      <c r="H34" s="37"/>
      <c r="I34" s="37"/>
      <c r="J34" s="37"/>
    </row>
    <row r="35" spans="1:10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21.75" customHeight="1" x14ac:dyDescent="0.35">
      <c r="A36" s="9" t="s">
        <v>199</v>
      </c>
      <c r="B36" s="9"/>
      <c r="C36" s="9"/>
      <c r="D36" s="9"/>
      <c r="E36" s="9"/>
      <c r="F36" s="9"/>
      <c r="G36" s="9"/>
      <c r="H36" s="9"/>
      <c r="I36" s="9"/>
      <c r="J36" s="9"/>
    </row>
    <row r="37" spans="1:10" ht="18" customHeight="1" x14ac:dyDescent="0.35">
      <c r="A37" s="12" t="s">
        <v>200</v>
      </c>
      <c r="B37" s="12"/>
      <c r="C37" s="12"/>
      <c r="D37" s="12"/>
      <c r="E37" s="12"/>
      <c r="F37" s="12"/>
      <c r="G37" s="12"/>
      <c r="H37" s="12"/>
      <c r="I37" s="12"/>
      <c r="J37" s="12"/>
    </row>
    <row r="38" spans="1:10" ht="21.75" customHeight="1" x14ac:dyDescent="0.35">
      <c r="A38" s="9" t="s">
        <v>201</v>
      </c>
      <c r="B38" s="9"/>
      <c r="C38" s="9"/>
      <c r="D38" s="9"/>
      <c r="E38" s="9"/>
      <c r="F38" s="9"/>
      <c r="G38" s="9"/>
      <c r="H38" s="9"/>
      <c r="I38" s="9"/>
      <c r="J38" s="9"/>
    </row>
    <row r="39" spans="1:10" ht="19.5" customHeight="1" x14ac:dyDescent="0.35">
      <c r="A39" s="10" t="s">
        <v>202</v>
      </c>
      <c r="B39" s="10"/>
      <c r="C39" s="10"/>
      <c r="D39" s="38" t="s">
        <v>203</v>
      </c>
      <c r="E39" s="38"/>
      <c r="F39" s="38"/>
      <c r="G39" s="38"/>
      <c r="H39" s="38"/>
      <c r="I39" s="38"/>
      <c r="J39" s="38"/>
    </row>
    <row r="40" spans="1:10" ht="19.5" customHeight="1" x14ac:dyDescent="0.35">
      <c r="A40" s="10" t="s">
        <v>102</v>
      </c>
      <c r="B40" s="10"/>
      <c r="C40" s="10"/>
      <c r="D40" s="11" t="s">
        <v>204</v>
      </c>
      <c r="E40" s="11"/>
      <c r="F40" s="11"/>
      <c r="G40" s="11"/>
      <c r="H40" s="11"/>
      <c r="I40" s="11"/>
      <c r="J40" s="11"/>
    </row>
    <row r="41" spans="1:10" ht="19.5" customHeight="1" x14ac:dyDescent="0.35">
      <c r="A41" s="10" t="s">
        <v>104</v>
      </c>
      <c r="B41" s="10"/>
      <c r="C41" s="10"/>
      <c r="D41" s="11"/>
      <c r="E41" s="11"/>
      <c r="F41" s="11"/>
      <c r="G41" s="11"/>
      <c r="H41" s="11"/>
      <c r="I41" s="11"/>
      <c r="J41" s="11"/>
    </row>
    <row r="42" spans="1:10" ht="19.5" customHeight="1" x14ac:dyDescent="0.35">
      <c r="A42" s="10" t="s">
        <v>205</v>
      </c>
      <c r="B42" s="10"/>
      <c r="C42" s="10"/>
      <c r="D42" s="11" t="s">
        <v>8</v>
      </c>
      <c r="E42" s="11"/>
      <c r="F42" s="11"/>
      <c r="G42" s="11"/>
      <c r="H42" s="11"/>
      <c r="I42" s="11"/>
      <c r="J42" s="11"/>
    </row>
    <row r="43" spans="1:10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21.75" customHeight="1" x14ac:dyDescent="0.35">
      <c r="A44" s="9" t="s">
        <v>206</v>
      </c>
      <c r="B44" s="9"/>
      <c r="C44" s="9"/>
      <c r="D44" s="9"/>
      <c r="E44" s="9"/>
      <c r="F44" s="9"/>
      <c r="G44" s="9"/>
      <c r="H44" s="9"/>
      <c r="I44" s="9"/>
      <c r="J44" s="9"/>
    </row>
    <row r="45" spans="1:10" ht="19.5" customHeight="1" x14ac:dyDescent="0.35">
      <c r="A45" s="10" t="s">
        <v>202</v>
      </c>
      <c r="B45" s="10"/>
      <c r="C45" s="10"/>
      <c r="D45" s="38" t="s">
        <v>207</v>
      </c>
      <c r="E45" s="38"/>
      <c r="F45" s="38"/>
      <c r="G45" s="38"/>
      <c r="H45" s="38"/>
      <c r="I45" s="38"/>
      <c r="J45" s="38"/>
    </row>
    <row r="46" spans="1:10" ht="19.5" customHeight="1" x14ac:dyDescent="0.35">
      <c r="A46" s="10" t="s">
        <v>102</v>
      </c>
      <c r="B46" s="10"/>
      <c r="C46" s="10"/>
      <c r="D46" s="11" t="s">
        <v>204</v>
      </c>
      <c r="E46" s="11"/>
      <c r="F46" s="11"/>
      <c r="G46" s="11"/>
      <c r="H46" s="11"/>
      <c r="I46" s="11"/>
      <c r="J46" s="11"/>
    </row>
    <row r="47" spans="1:10" ht="19.5" customHeight="1" x14ac:dyDescent="0.35">
      <c r="A47" s="10" t="s">
        <v>104</v>
      </c>
      <c r="B47" s="10"/>
      <c r="C47" s="10"/>
      <c r="D47" s="11"/>
      <c r="E47" s="11"/>
      <c r="F47" s="11"/>
      <c r="G47" s="11"/>
      <c r="H47" s="11"/>
      <c r="I47" s="11"/>
      <c r="J47" s="11"/>
    </row>
    <row r="48" spans="1:10" ht="19.5" customHeight="1" x14ac:dyDescent="0.35">
      <c r="A48" s="10" t="s">
        <v>205</v>
      </c>
      <c r="B48" s="10"/>
      <c r="C48" s="10"/>
      <c r="D48" s="11" t="s">
        <v>8</v>
      </c>
      <c r="E48" s="11"/>
      <c r="F48" s="11"/>
      <c r="G48" s="11"/>
      <c r="H48" s="11"/>
      <c r="I48" s="11"/>
      <c r="J48" s="11"/>
    </row>
    <row r="49" spans="1:10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21.75" customHeight="1" x14ac:dyDescent="0.35">
      <c r="A50" s="9" t="s">
        <v>208</v>
      </c>
      <c r="B50" s="9"/>
      <c r="C50" s="9"/>
      <c r="D50" s="9"/>
      <c r="E50" s="9"/>
      <c r="F50" s="9"/>
      <c r="G50" s="9"/>
      <c r="H50" s="9"/>
      <c r="I50" s="9"/>
      <c r="J50" s="9"/>
    </row>
    <row r="51" spans="1:10" ht="19.5" customHeight="1" x14ac:dyDescent="0.35">
      <c r="A51" s="10" t="s">
        <v>202</v>
      </c>
      <c r="B51" s="10"/>
      <c r="C51" s="10"/>
      <c r="D51" s="38" t="s">
        <v>209</v>
      </c>
      <c r="E51" s="38"/>
      <c r="F51" s="38"/>
      <c r="G51" s="38"/>
      <c r="H51" s="38"/>
      <c r="I51" s="38"/>
      <c r="J51" s="38"/>
    </row>
    <row r="52" spans="1:10" ht="19.5" customHeight="1" x14ac:dyDescent="0.35">
      <c r="A52" s="10" t="s">
        <v>102</v>
      </c>
      <c r="B52" s="10"/>
      <c r="C52" s="10"/>
      <c r="D52" s="11" t="s">
        <v>204</v>
      </c>
      <c r="E52" s="11"/>
      <c r="F52" s="11"/>
      <c r="G52" s="11"/>
      <c r="H52" s="11"/>
      <c r="I52" s="11"/>
      <c r="J52" s="11"/>
    </row>
    <row r="53" spans="1:10" ht="19.5" customHeight="1" x14ac:dyDescent="0.35">
      <c r="A53" s="10" t="s">
        <v>104</v>
      </c>
      <c r="B53" s="10"/>
      <c r="C53" s="10"/>
      <c r="D53" s="11"/>
      <c r="E53" s="11"/>
      <c r="F53" s="11"/>
      <c r="G53" s="11"/>
      <c r="H53" s="11"/>
      <c r="I53" s="11"/>
      <c r="J53" s="11"/>
    </row>
    <row r="54" spans="1:10" ht="19.5" customHeight="1" x14ac:dyDescent="0.35">
      <c r="A54" s="10" t="s">
        <v>205</v>
      </c>
      <c r="B54" s="10"/>
      <c r="C54" s="10"/>
      <c r="D54" s="11" t="s">
        <v>8</v>
      </c>
      <c r="E54" s="11"/>
      <c r="F54" s="11"/>
      <c r="G54" s="11"/>
      <c r="H54" s="11"/>
      <c r="I54" s="11"/>
      <c r="J54" s="11"/>
    </row>
    <row r="55" spans="1:10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8" customHeight="1" x14ac:dyDescent="0.35">
      <c r="A56" s="12" t="s">
        <v>210</v>
      </c>
      <c r="B56" s="12"/>
      <c r="C56" s="12"/>
      <c r="D56" s="12"/>
      <c r="E56" s="12"/>
      <c r="F56" s="12"/>
      <c r="G56" s="12"/>
      <c r="H56" s="12"/>
      <c r="I56" s="12"/>
      <c r="J56" s="12"/>
    </row>
  </sheetData>
  <mergeCells count="57">
    <mergeCell ref="A54:C54"/>
    <mergeCell ref="D54:J54"/>
    <mergeCell ref="A56:J56"/>
    <mergeCell ref="A51:C51"/>
    <mergeCell ref="D51:J51"/>
    <mergeCell ref="A52:C52"/>
    <mergeCell ref="D52:J52"/>
    <mergeCell ref="A53:C53"/>
    <mergeCell ref="D53:J53"/>
    <mergeCell ref="A47:C47"/>
    <mergeCell ref="D47:J47"/>
    <mergeCell ref="A48:C48"/>
    <mergeCell ref="D48:J48"/>
    <mergeCell ref="A50:J50"/>
    <mergeCell ref="A44:J44"/>
    <mergeCell ref="A45:C45"/>
    <mergeCell ref="D45:J45"/>
    <mergeCell ref="A46:C46"/>
    <mergeCell ref="D46:J46"/>
    <mergeCell ref="A40:C40"/>
    <mergeCell ref="D40:J40"/>
    <mergeCell ref="A41:C41"/>
    <mergeCell ref="D41:J41"/>
    <mergeCell ref="A42:C42"/>
    <mergeCell ref="D42:J42"/>
    <mergeCell ref="A36:J36"/>
    <mergeCell ref="A37:J37"/>
    <mergeCell ref="A38:J38"/>
    <mergeCell ref="A39:C39"/>
    <mergeCell ref="D39:J39"/>
    <mergeCell ref="A23:G23"/>
    <mergeCell ref="A25:J25"/>
    <mergeCell ref="A26:J29"/>
    <mergeCell ref="A30:J30"/>
    <mergeCell ref="A31:J34"/>
    <mergeCell ref="A13:C13"/>
    <mergeCell ref="D13:J13"/>
    <mergeCell ref="A14:C14"/>
    <mergeCell ref="D14:J14"/>
    <mergeCell ref="A16:J16"/>
    <mergeCell ref="A10:C10"/>
    <mergeCell ref="D10:J10"/>
    <mergeCell ref="A11:C11"/>
    <mergeCell ref="D11:J11"/>
    <mergeCell ref="A12:C12"/>
    <mergeCell ref="D12:J12"/>
    <mergeCell ref="A7:C7"/>
    <mergeCell ref="D7:J7"/>
    <mergeCell ref="A8:C8"/>
    <mergeCell ref="D8:J8"/>
    <mergeCell ref="A9:C9"/>
    <mergeCell ref="D9:J9"/>
    <mergeCell ref="A1:J1"/>
    <mergeCell ref="A2:J2"/>
    <mergeCell ref="A3:J3"/>
    <mergeCell ref="A4:J4"/>
    <mergeCell ref="A6:J6"/>
  </mergeCells>
  <printOptions horizontalCentered="1"/>
  <pageMargins left="0.55118110236220474" right="0.35433070866141736" top="0.39370078740157483" bottom="0.19685039370078741" header="0.31496062992125984" footer="0.11811023622047245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BM-06 Xuất kho NL-Nhật ký xe</vt:lpstr>
      <vt:lpstr>BM-07 Nghiệm thu khóa học</vt:lpstr>
      <vt:lpstr>BM-10 Giá thành khóa học</vt:lpstr>
      <vt:lpstr>BM-11 Xác định giá vốn</vt:lpstr>
      <vt:lpstr>BM-12 CP bất thường-vượt ĐM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Cuong Nguyen</cp:lastModifiedBy>
  <cp:revision>0</cp:revision>
  <cp:lastPrinted>2026-05-11T09:22:20Z</cp:lastPrinted>
  <dcterms:created xsi:type="dcterms:W3CDTF">2026-05-11T08:37:57Z</dcterms:created>
  <dcterms:modified xsi:type="dcterms:W3CDTF">2026-05-11T12:10:29Z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2026-05-11T08:47:58Z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832365bc-ea8a-40b6-8f47-09dd338c5ad8</vt:lpwstr>
  </property>
  <property fmtid="{D5CDD505-2E9C-101B-9397-08002B2CF9AE}" pid="7" name="MSIP_Label_defa4170-0d19-0005-0004-bc88714345d2_ActionId">
    <vt:lpwstr>7d6876db-f86b-41bf-b0ed-27176c07e778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